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628" windowHeight="19140" tabRatio="322"/>
  </bookViews>
  <sheets>
    <sheet name="Sheet1" sheetId="1" r:id="rId1"/>
  </sheets>
  <definedNames>
    <definedName name="_xlnm._FilterDatabase" localSheetId="0" hidden="1">Sheet1!$A$1:$BC$51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<sst xmlns="http://schemas.openxmlformats.org/spreadsheetml/2006/main" count="350" uniqueCount="162">
  <si>
    <t>住院次数</t>
  </si>
  <si>
    <t>性别
（1=男，2=女）</t>
  </si>
  <si>
    <t>年龄</t>
  </si>
  <si>
    <t>入院日期</t>
  </si>
  <si>
    <t>出院日期</t>
  </si>
  <si>
    <t>出院科室</t>
  </si>
  <si>
    <t>主要诊断</t>
  </si>
  <si>
    <t>主要手术名称</t>
  </si>
  <si>
    <t>主要手术愈合等级</t>
  </si>
  <si>
    <t>身高</t>
  </si>
  <si>
    <t>体重</t>
  </si>
  <si>
    <t>BMI</t>
  </si>
  <si>
    <t>既往头颈部疾病手术外伤史（0=无，1=有）</t>
  </si>
  <si>
    <t>冠心病（0=无，1=有）</t>
  </si>
  <si>
    <t>高血压（0=无，1=有）</t>
  </si>
  <si>
    <t>外周血管病（0=无，1=有）</t>
  </si>
  <si>
    <t>免疫性疾病（0=无，1=有）</t>
  </si>
  <si>
    <t>糖尿病（0=无，1=有）</t>
  </si>
  <si>
    <t>高脂血症（0=无，1=有）</t>
  </si>
  <si>
    <t>激素类（0=无，1=有）</t>
  </si>
  <si>
    <t>吸烟史（0=无，1=有）</t>
  </si>
  <si>
    <t>饮酒史（0=无，1=有）</t>
  </si>
  <si>
    <t>术前前白蛋白PALB（0=未测）</t>
  </si>
  <si>
    <t>术前白蛋白ALB（0=未测）</t>
  </si>
  <si>
    <t>术前血红蛋白HGB（0=未测）</t>
  </si>
  <si>
    <t>术前口咽拭子（未生长=0，阳性=1，未测=2）</t>
  </si>
  <si>
    <r>
      <rPr>
        <sz val="10"/>
        <rFont val="宋体"/>
        <charset val="134"/>
        <scheme val="minor"/>
      </rPr>
      <t>病变部位（</t>
    </r>
    <r>
      <rPr>
        <sz val="8"/>
        <rFont val="宋体"/>
        <charset val="134"/>
        <scheme val="minor"/>
      </rPr>
      <t>喉=1、鼻=2、扁桃体=3、腮腺=4、咽部=5、唇=6、甲状腺=7、食管=8、舌=9、耳=10 、颌、面部=11、口底=12、气管=13、口腔、牙龈=14、梨状窝=15、上颌窦=16、皮肤肿物=17、腭=18、胸部=19、颈部=20）</t>
    </r>
  </si>
  <si>
    <t>ASA评分</t>
  </si>
  <si>
    <r>
      <rPr>
        <sz val="10"/>
        <rFont val="宋体"/>
        <charset val="134"/>
        <scheme val="minor"/>
      </rPr>
      <t>术前抗菌药物：</t>
    </r>
    <r>
      <rPr>
        <sz val="8"/>
        <rFont val="宋体"/>
        <charset val="134"/>
        <scheme val="minor"/>
      </rPr>
      <t>未用=0、头孢曲松钠=1、头孢呋辛钠=2、左奥硝唑氯化钠=3、吗啉硝唑氯化钠=4、甲磺酸左氧氟沙星氯化钠=5、克林霉素磷酸酯=6、盐酸莫西沙星=7、头孢噻肟钠=8、甲硝唑氯化钠=9、头孢米诺钠=10、奥硝唑=11、美洛西林钠舒巴坦钠=12、注射用哌拉西林钠舒巴坦钠=13、头孢哌酮钠舒巴坦钠=14、阿奇霉素=15、美罗培南=16、万古霉素=17</t>
    </r>
  </si>
  <si>
    <t>手术时长（min）（不详=0，其他具体写出）</t>
  </si>
  <si>
    <t>术中输血（有=1，无=0）</t>
  </si>
  <si>
    <t>吻合方式（如有吻合口：手工=1，器械=2，不详=0）</t>
  </si>
  <si>
    <t>颈清扫（0=无，1=有）</t>
  </si>
  <si>
    <t>术前放疗（0=无，1=有）</t>
  </si>
  <si>
    <t>术前化疗（0=无，1=有）</t>
  </si>
  <si>
    <t>术前同步放化疗（0=无，1:&lt;=60Gy,2:&gt;60Gy，有，但具体剂量不详=3）</t>
  </si>
  <si>
    <t>手术日期</t>
  </si>
  <si>
    <t>腔镜（0=无，1=有）</t>
  </si>
  <si>
    <t>手术名称</t>
  </si>
  <si>
    <r>
      <rPr>
        <sz val="10"/>
        <rFont val="宋体"/>
        <charset val="134"/>
        <scheme val="minor"/>
      </rPr>
      <t xml:space="preserve">皮瓣（无=0、颏下皮瓣=1、股前外侧皮瓣=2、鼻唇沟=3、颈阔肌=4、锁骨=5、其他=6、前臂桡侧皮瓣=7、游离空肠瓣=8、游离腓骨瓣=9、胸大肌皮瓣=10、局部转移皮瓣=11）  </t>
    </r>
    <r>
      <rPr>
        <b/>
        <u/>
        <sz val="10"/>
        <color rgb="FFFF0000"/>
        <rFont val="宋体"/>
        <charset val="134"/>
        <scheme val="minor"/>
      </rPr>
      <t>待整理</t>
    </r>
  </si>
  <si>
    <t>气管造瘘（无=0，有=1）</t>
  </si>
  <si>
    <r>
      <rPr>
        <sz val="10"/>
        <rFont val="宋体"/>
        <charset val="134"/>
        <scheme val="minor"/>
      </rPr>
      <t>术后病理</t>
    </r>
    <r>
      <rPr>
        <sz val="6"/>
        <rFont val="宋体"/>
        <charset val="134"/>
        <scheme val="minor"/>
      </rPr>
      <t>无=0、warthin瘤=1、鳞癌=2、乳头状癌=3、多形性腺瘤=4、基底细胞癌=5、腺癌=6、黑色素瘤=7、未见癌=8、肉瘤=9、良性=10、甲状腺髓样癌=11、粘液表皮样癌=12、分化差的癌=13、腺样囊性癌=14、淋巴细胞瘤=15、梭形细胞瘤=16、囊肿=17</t>
    </r>
  </si>
  <si>
    <t>分化（无=0、低=1、中=2、高=3、未确定=4）</t>
  </si>
  <si>
    <t>最新版pTNM（5=5期，1=I期，2=II期，3=III期，4=IV期，5=无）</t>
  </si>
  <si>
    <t>多原发（0=否、1=是）</t>
  </si>
  <si>
    <t>术后0-3天白蛋白ALB（选最低的）    （0=未测）</t>
  </si>
  <si>
    <t>术后0-3天前白蛋白PALB（0=未测）</t>
  </si>
  <si>
    <t>非计划二次手术(0=否，1=是)</t>
  </si>
  <si>
    <t>肺部感染（0=无、1=有）</t>
  </si>
  <si>
    <t>吻合口瘘（0=无、1=有）</t>
  </si>
  <si>
    <t>吻合口瘘确认距术后天数（0=未发生，具体已写出）</t>
  </si>
  <si>
    <t>脂肪液化（0=无，1=有）</t>
  </si>
  <si>
    <t>切口感染(0=无、1=有）</t>
  </si>
  <si>
    <t>感染病原体</t>
  </si>
  <si>
    <t>是否多重耐药（0=否，1＝是）</t>
  </si>
  <si>
    <t>头外一</t>
  </si>
  <si>
    <t>梨状窝恶性肿瘤</t>
  </si>
  <si>
    <t>全喉切除伴根治性淋巴结清扫术</t>
  </si>
  <si>
    <t>II/甲</t>
  </si>
  <si>
    <t>Ⅲ</t>
  </si>
  <si>
    <t>2018.11.21</t>
  </si>
  <si>
    <t>皮瓣</t>
  </si>
  <si>
    <t>全喉切除术</t>
  </si>
  <si>
    <t>Ⅱ</t>
  </si>
  <si>
    <t>2018.12.5</t>
  </si>
  <si>
    <t>下颌下腺恶性肿瘤</t>
  </si>
  <si>
    <t>下颌骨部分切除术</t>
  </si>
  <si>
    <t>II/其他</t>
  </si>
  <si>
    <t>2018.12.20</t>
  </si>
  <si>
    <t>头外三</t>
  </si>
  <si>
    <t>鼻腔恶性肿瘤</t>
  </si>
  <si>
    <t>上颌骨部分切除术</t>
  </si>
  <si>
    <t>2018.12.26</t>
  </si>
  <si>
    <t>ALT</t>
  </si>
  <si>
    <t>下咽恶性肿瘤</t>
  </si>
  <si>
    <t>硬腭恶性肿瘤</t>
  </si>
  <si>
    <t>硬腭病损广泛切除术</t>
  </si>
  <si>
    <t>鼻咽良性肿瘤</t>
  </si>
  <si>
    <t>支撑喉镜下鼻咽病损切除术</t>
  </si>
  <si>
    <t>2018.12.28</t>
  </si>
  <si>
    <t>上牙龈恶性肿瘤</t>
  </si>
  <si>
    <t>牙龈病损切除术</t>
  </si>
  <si>
    <t>2018.12.29</t>
  </si>
  <si>
    <t>头外二</t>
  </si>
  <si>
    <t>腮腺良性肿瘤</t>
  </si>
  <si>
    <t>腮腺浅叶切除术</t>
  </si>
  <si>
    <t>梨状窝病损切除术</t>
  </si>
  <si>
    <t>2019.1.2</t>
  </si>
  <si>
    <t>口底恶性肿瘤</t>
  </si>
  <si>
    <t>口底病损切除术</t>
  </si>
  <si>
    <t>手术后切口感染</t>
  </si>
  <si>
    <t>气管造口修正术</t>
  </si>
  <si>
    <t>II/乙</t>
  </si>
  <si>
    <t>乳糜胸</t>
  </si>
  <si>
    <t>胸导管结扎术</t>
  </si>
  <si>
    <t>颌下腺良性肿瘤</t>
  </si>
  <si>
    <t>下颌下腺病损切除术</t>
  </si>
  <si>
    <t>Ⅰ</t>
  </si>
  <si>
    <t>2019.1.3</t>
  </si>
  <si>
    <t>喉恶性肿瘤</t>
  </si>
  <si>
    <t>喉部分切除术</t>
  </si>
  <si>
    <t>2019.1.4</t>
  </si>
  <si>
    <t>舌恶性肿瘤</t>
  </si>
  <si>
    <t>舌病损切除术</t>
  </si>
  <si>
    <t>腮腺部分切除术</t>
  </si>
  <si>
    <t>2019.1.7</t>
  </si>
  <si>
    <t>腮腺恶性肿瘤</t>
  </si>
  <si>
    <t>声门恶性肿瘤</t>
  </si>
  <si>
    <t>2019.1.9</t>
  </si>
  <si>
    <t>眶内病损切除术</t>
  </si>
  <si>
    <t>鳃裂囊肿</t>
  </si>
  <si>
    <t>皮肤病损切除术</t>
  </si>
  <si>
    <t>2019.1.10</t>
  </si>
  <si>
    <t>舌扩大性切除术</t>
  </si>
  <si>
    <t>2019.1.11</t>
  </si>
  <si>
    <t>肌上皮癌</t>
  </si>
  <si>
    <t>颊黏膜恶性肿瘤</t>
  </si>
  <si>
    <t>颊部病损切除术</t>
  </si>
  <si>
    <t>2019.1.14</t>
  </si>
  <si>
    <t>2019.1.16</t>
  </si>
  <si>
    <t>扁桃体淋巴瘤</t>
  </si>
  <si>
    <t>扁桃体病损切除术</t>
  </si>
  <si>
    <t>下颌骨恶性肿瘤</t>
  </si>
  <si>
    <t>气管继发恶性肿瘤</t>
  </si>
  <si>
    <t>气管病损切除术</t>
  </si>
  <si>
    <t>II/丙</t>
  </si>
  <si>
    <t>2019.2.13</t>
  </si>
  <si>
    <t>颌下恶性肿瘤</t>
  </si>
  <si>
    <t>颌下淋巴结清扫术</t>
  </si>
  <si>
    <t>食管恶性肿瘤</t>
  </si>
  <si>
    <t>Ⅳ</t>
  </si>
  <si>
    <t>2024.6.13</t>
  </si>
  <si>
    <t>颈胸联合切口全食管切除术</t>
  </si>
  <si>
    <t>2024.2.21</t>
  </si>
  <si>
    <t>2024.2.19</t>
  </si>
  <si>
    <t>2024.3.20</t>
  </si>
  <si>
    <t>2024.1.31</t>
  </si>
  <si>
    <t>鼻内病损切除术</t>
  </si>
  <si>
    <t>淋巴结继发恶性肿瘤</t>
  </si>
  <si>
    <t>2024.2.28</t>
  </si>
  <si>
    <t>双侧颈淋巴结清扫术</t>
  </si>
  <si>
    <t>舌根恶性肿瘤</t>
  </si>
  <si>
    <t>2024.5.22</t>
  </si>
  <si>
    <t>舌部分切除术</t>
  </si>
  <si>
    <t>腮腺切除术</t>
  </si>
  <si>
    <t>2024.2.4</t>
  </si>
  <si>
    <t>颞下窝恶性肿瘤</t>
  </si>
  <si>
    <t>2024.2.29</t>
  </si>
  <si>
    <t>腺性囊样癌</t>
  </si>
  <si>
    <t>食管颈部恶性肿瘤</t>
  </si>
  <si>
    <t>2024.4.17</t>
  </si>
  <si>
    <t>2024.5.9</t>
  </si>
  <si>
    <t>2024.3.27</t>
  </si>
  <si>
    <t>下颌下腺切除术</t>
  </si>
  <si>
    <t>2024.4.1</t>
  </si>
  <si>
    <t>腺瘤</t>
  </si>
  <si>
    <t>2024.3.4</t>
  </si>
  <si>
    <t>创伤性食管狭窄</t>
  </si>
  <si>
    <t>2024.6.7</t>
  </si>
  <si>
    <t>食管狭窄修补术</t>
  </si>
  <si>
    <t>2024.3.14</t>
  </si>
  <si>
    <t>沃辛瘤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</si>
</sst>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"/>
  </numFmts>
  <fonts count="3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12"/>
      <name val="宋体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name val="宋体"/>
      <charset val="134"/>
      <scheme val="minor"/>
    </font>
    <font>
      <sz val="8"/>
      <name val="宋体"/>
      <charset val="134"/>
      <scheme val="minor"/>
    </font>
    <font>
      <b/>
      <u/>
      <sz val="10"/>
      <color rgb="FFFF0000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DD17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FF96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49" fontId="5" fillId="7" borderId="1" xfId="0" applyNumberFormat="1" applyFont="1" applyFill="1" applyBorder="1" applyAlignment="1">
      <alignment horizontal="left" vertical="center" wrapText="1"/>
    </xf>
    <xf numFmtId="176" fontId="5" fillId="7" borderId="1" xfId="0" applyNumberFormat="1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51"/>
  <sheetViews>
    <sheetView tabSelected="1" zoomScale="85" zoomScaleNormal="85" workbookViewId="0">
      <selection activeCell="G28" sqref="G28"/>
    </sheetView>
  </sheetViews>
  <sheetFormatPr defaultColWidth="12.8888888888889" defaultRowHeight="15.6"/>
  <cols>
    <col min="1" max="2" width="12.8888888888889" style="1"/>
    <col min="3" max="3" width="12.8888888888889" style="2"/>
    <col min="4" max="5" width="12.8888888888889" style="3"/>
    <col min="6" max="6" width="12.8888888888889" style="1"/>
    <col min="7" max="7" width="40.7777777777778" style="1" customWidth="1"/>
    <col min="8" max="9" width="12.8888888888889" style="1"/>
    <col min="10" max="10" width="12.8888888888889" style="2"/>
    <col min="11" max="12" width="12.8888888888889" style="1"/>
    <col min="13" max="13" width="12.8888888888889" style="4"/>
    <col min="14" max="21" width="12.8888888888889" style="1"/>
    <col min="22" max="22" width="12.8888888888889" style="2"/>
    <col min="23" max="27" width="12.8888888888889" style="1"/>
    <col min="28" max="28" width="12.8888888888889" style="5"/>
    <col min="29" max="32" width="12.8888888888889" style="1"/>
    <col min="33" max="33" width="12.8888888888889" style="2"/>
    <col min="34" max="36" width="12.8888888888889" style="1"/>
    <col min="37" max="37" width="12.8888888888889" style="6"/>
    <col min="38" max="16384" width="12.8888888888889" style="1"/>
  </cols>
  <sheetData>
    <row r="1" ht="119.4" customHeight="1" spans="1:55">
      <c r="A1" s="4" t="s">
        <v>0</v>
      </c>
      <c r="B1" s="7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9" t="s">
        <v>10</v>
      </c>
      <c r="L1" s="9" t="s">
        <v>11</v>
      </c>
      <c r="M1" s="10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2" t="s">
        <v>21</v>
      </c>
      <c r="W1" s="11" t="s">
        <v>22</v>
      </c>
      <c r="X1" s="13" t="s">
        <v>23</v>
      </c>
      <c r="Y1" s="13" t="s">
        <v>24</v>
      </c>
      <c r="Z1" s="14" t="s">
        <v>25</v>
      </c>
      <c r="AA1" s="15" t="s">
        <v>26</v>
      </c>
      <c r="AB1" s="16" t="s">
        <v>27</v>
      </c>
      <c r="AC1" s="15" t="s">
        <v>28</v>
      </c>
      <c r="AD1" s="17" t="s">
        <v>29</v>
      </c>
      <c r="AE1" s="17" t="s">
        <v>30</v>
      </c>
      <c r="AF1" s="18" t="s">
        <v>31</v>
      </c>
      <c r="AG1" s="19" t="s">
        <v>32</v>
      </c>
      <c r="AH1" s="18" t="s">
        <v>33</v>
      </c>
      <c r="AI1" s="18" t="s">
        <v>34</v>
      </c>
      <c r="AJ1" s="18" t="s">
        <v>35</v>
      </c>
      <c r="AK1" s="20" t="s">
        <v>36</v>
      </c>
      <c r="AL1" s="18" t="s">
        <v>37</v>
      </c>
      <c r="AM1" s="18" t="s">
        <v>38</v>
      </c>
      <c r="AN1" s="15" t="s">
        <v>39</v>
      </c>
      <c r="AO1" s="18" t="s">
        <v>40</v>
      </c>
      <c r="AP1" s="15" t="s">
        <v>41</v>
      </c>
      <c r="AQ1" s="21" t="s">
        <v>42</v>
      </c>
      <c r="AR1" s="21" t="s">
        <v>43</v>
      </c>
      <c r="AS1" s="21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22" t="s">
        <v>51</v>
      </c>
      <c r="BA1" s="22" t="s">
        <v>52</v>
      </c>
      <c r="BB1" s="22" t="s">
        <v>53</v>
      </c>
      <c r="BC1" s="22" t="s">
        <v>54</v>
      </c>
    </row>
    <row r="2" spans="1:55">
      <c r="A2" s="1">
        <v>1</v>
      </c>
      <c r="B2" s="23">
        <v>1</v>
      </c>
      <c r="C2" s="2">
        <v>66</v>
      </c>
      <c r="D2" s="3">
        <v>43423</v>
      </c>
      <c r="E2" s="3">
        <v>43479</v>
      </c>
      <c r="F2" s="1" t="s">
        <v>55</v>
      </c>
      <c r="G2" s="1" t="s">
        <v>56</v>
      </c>
      <c r="H2" s="1" t="s">
        <v>57</v>
      </c>
      <c r="I2" s="1" t="s">
        <v>58</v>
      </c>
      <c r="J2" s="1">
        <v>158</v>
      </c>
      <c r="K2" s="1">
        <v>59</v>
      </c>
      <c r="L2" s="1">
        <v>23.6</v>
      </c>
      <c r="M2" s="4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1</v>
      </c>
      <c r="V2" s="2">
        <v>1</v>
      </c>
      <c r="W2" s="1">
        <v>26</v>
      </c>
      <c r="X2" s="1">
        <v>41.2</v>
      </c>
      <c r="Y2" s="1">
        <v>142</v>
      </c>
      <c r="Z2" s="1">
        <v>0</v>
      </c>
      <c r="AA2" s="1">
        <v>5</v>
      </c>
      <c r="AB2" s="5" t="s">
        <v>59</v>
      </c>
      <c r="AC2" s="1">
        <v>1</v>
      </c>
      <c r="AD2" s="1">
        <v>160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6" t="s">
        <v>60</v>
      </c>
      <c r="AL2" s="1">
        <v>0</v>
      </c>
      <c r="AM2" s="1">
        <v>0</v>
      </c>
      <c r="AN2" s="1" t="s">
        <v>61</v>
      </c>
      <c r="AO2" s="1">
        <v>0</v>
      </c>
      <c r="AP2" s="1">
        <v>2</v>
      </c>
      <c r="AQ2" s="1">
        <v>2</v>
      </c>
      <c r="AR2" s="1">
        <v>5</v>
      </c>
      <c r="AS2" s="1">
        <v>0</v>
      </c>
      <c r="AT2" s="1">
        <v>34.7</v>
      </c>
      <c r="AU2" s="1">
        <v>23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</row>
    <row r="3" spans="1:55">
      <c r="A3" s="1">
        <v>1</v>
      </c>
      <c r="B3" s="23">
        <v>1</v>
      </c>
      <c r="C3" s="2">
        <v>53</v>
      </c>
      <c r="D3" s="3">
        <v>43437</v>
      </c>
      <c r="E3" s="3">
        <v>43468</v>
      </c>
      <c r="F3" s="1" t="s">
        <v>55</v>
      </c>
      <c r="G3" s="1" t="s">
        <v>56</v>
      </c>
      <c r="H3" s="1" t="s">
        <v>62</v>
      </c>
      <c r="I3" s="1" t="s">
        <v>58</v>
      </c>
      <c r="J3" s="1">
        <v>173</v>
      </c>
      <c r="K3" s="1">
        <v>67</v>
      </c>
      <c r="L3" s="1">
        <v>22.3</v>
      </c>
      <c r="M3" s="4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2">
        <v>1</v>
      </c>
      <c r="W3" s="1">
        <v>26</v>
      </c>
      <c r="X3" s="1">
        <v>44.8</v>
      </c>
      <c r="Y3" s="1">
        <v>122</v>
      </c>
      <c r="Z3" s="1">
        <v>0</v>
      </c>
      <c r="AA3" s="1">
        <v>5</v>
      </c>
      <c r="AB3" s="5" t="s">
        <v>63</v>
      </c>
      <c r="AC3" s="1">
        <v>2</v>
      </c>
      <c r="AD3" s="1">
        <v>360</v>
      </c>
      <c r="AE3" s="1">
        <v>0</v>
      </c>
      <c r="AF3" s="1">
        <v>0</v>
      </c>
      <c r="AG3" s="1">
        <v>0</v>
      </c>
      <c r="AH3" s="1">
        <v>0</v>
      </c>
      <c r="AI3" s="1">
        <v>1</v>
      </c>
      <c r="AJ3" s="1">
        <v>0</v>
      </c>
      <c r="AK3" s="6" t="s">
        <v>64</v>
      </c>
      <c r="AL3" s="1">
        <v>0</v>
      </c>
      <c r="AM3" s="1">
        <v>0</v>
      </c>
      <c r="AN3" s="1" t="s">
        <v>61</v>
      </c>
      <c r="AO3" s="1">
        <v>0</v>
      </c>
      <c r="AP3" s="1">
        <v>2</v>
      </c>
      <c r="AQ3" s="1">
        <v>1</v>
      </c>
      <c r="AR3" s="1">
        <v>5</v>
      </c>
      <c r="AS3" s="1">
        <v>0</v>
      </c>
      <c r="AT3" s="1">
        <v>29.5</v>
      </c>
      <c r="AU3" s="1">
        <v>9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</row>
    <row r="4" spans="1:55">
      <c r="A4" s="1">
        <v>1</v>
      </c>
      <c r="B4" s="23">
        <v>1</v>
      </c>
      <c r="C4" s="2">
        <v>46</v>
      </c>
      <c r="D4" s="3">
        <v>43451</v>
      </c>
      <c r="E4" s="3">
        <v>43469</v>
      </c>
      <c r="F4" s="1" t="s">
        <v>55</v>
      </c>
      <c r="G4" s="1" t="s">
        <v>65</v>
      </c>
      <c r="H4" s="1" t="s">
        <v>66</v>
      </c>
      <c r="I4" s="1" t="s">
        <v>67</v>
      </c>
      <c r="J4" s="1">
        <v>162</v>
      </c>
      <c r="K4" s="1">
        <v>47</v>
      </c>
      <c r="L4" s="1">
        <v>17.9</v>
      </c>
      <c r="M4" s="4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2">
        <v>1</v>
      </c>
      <c r="W4" s="1">
        <v>36</v>
      </c>
      <c r="X4" s="1">
        <v>49.9</v>
      </c>
      <c r="Y4" s="1">
        <v>167</v>
      </c>
      <c r="Z4" s="1">
        <v>1</v>
      </c>
      <c r="AA4" s="1">
        <v>11</v>
      </c>
      <c r="AB4" s="5" t="s">
        <v>63</v>
      </c>
      <c r="AC4" s="1">
        <v>2</v>
      </c>
      <c r="AD4" s="1">
        <v>327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6" t="s">
        <v>68</v>
      </c>
      <c r="AL4" s="1">
        <v>0</v>
      </c>
      <c r="AM4" s="1">
        <v>0</v>
      </c>
      <c r="AN4" s="1" t="s">
        <v>61</v>
      </c>
      <c r="AO4" s="1">
        <v>0</v>
      </c>
      <c r="AP4" s="1">
        <v>2</v>
      </c>
      <c r="AQ4" s="1">
        <v>3</v>
      </c>
      <c r="AR4" s="1">
        <v>5</v>
      </c>
      <c r="AS4" s="1">
        <v>0</v>
      </c>
      <c r="AT4" s="1">
        <v>29.8</v>
      </c>
      <c r="AU4" s="1">
        <v>19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</row>
    <row r="5" spans="1:55">
      <c r="A5" s="1">
        <v>1</v>
      </c>
      <c r="B5" s="23">
        <v>1</v>
      </c>
      <c r="C5" s="2">
        <v>35</v>
      </c>
      <c r="D5" s="3">
        <v>43458</v>
      </c>
      <c r="E5" s="3">
        <v>43467</v>
      </c>
      <c r="F5" s="1" t="s">
        <v>69</v>
      </c>
      <c r="G5" s="1" t="s">
        <v>70</v>
      </c>
      <c r="H5" s="1" t="s">
        <v>71</v>
      </c>
      <c r="I5" s="1" t="s">
        <v>58</v>
      </c>
      <c r="J5" s="1">
        <v>158</v>
      </c>
      <c r="K5" s="1">
        <v>78</v>
      </c>
      <c r="L5" s="1">
        <v>31.2</v>
      </c>
      <c r="M5" s="4">
        <v>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2">
        <v>1</v>
      </c>
      <c r="W5" s="1">
        <v>35</v>
      </c>
      <c r="X5" s="1">
        <v>50.1</v>
      </c>
      <c r="Y5" s="1">
        <v>163</v>
      </c>
      <c r="Z5" s="1">
        <v>2</v>
      </c>
      <c r="AA5" s="1">
        <v>2</v>
      </c>
      <c r="AB5" s="5" t="s">
        <v>63</v>
      </c>
      <c r="AC5" s="1">
        <v>2</v>
      </c>
      <c r="AD5" s="1">
        <v>254</v>
      </c>
      <c r="AE5" s="1">
        <v>1</v>
      </c>
      <c r="AF5" s="1">
        <v>0</v>
      </c>
      <c r="AG5" s="1">
        <v>0</v>
      </c>
      <c r="AH5" s="1">
        <v>1</v>
      </c>
      <c r="AI5" s="1">
        <v>0</v>
      </c>
      <c r="AJ5" s="1">
        <v>0</v>
      </c>
      <c r="AK5" s="6" t="s">
        <v>72</v>
      </c>
      <c r="AL5" s="1">
        <v>0</v>
      </c>
      <c r="AM5" s="1">
        <v>0</v>
      </c>
      <c r="AN5" s="1" t="s">
        <v>73</v>
      </c>
      <c r="AO5" s="1">
        <v>0</v>
      </c>
      <c r="AP5" s="1">
        <v>7</v>
      </c>
      <c r="AQ5" s="1">
        <v>0</v>
      </c>
      <c r="AR5" s="1">
        <v>5</v>
      </c>
      <c r="AS5" s="1">
        <v>1</v>
      </c>
      <c r="AT5" s="1">
        <v>38.6</v>
      </c>
      <c r="AU5" s="1">
        <v>23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</row>
    <row r="6" spans="1:55">
      <c r="A6" s="1">
        <v>1</v>
      </c>
      <c r="B6" s="23">
        <v>1</v>
      </c>
      <c r="C6" s="2">
        <v>54</v>
      </c>
      <c r="D6" s="3">
        <v>43458</v>
      </c>
      <c r="E6" s="3">
        <v>43469</v>
      </c>
      <c r="F6" s="1" t="s">
        <v>55</v>
      </c>
      <c r="G6" s="1" t="s">
        <v>74</v>
      </c>
      <c r="H6" s="1" t="s">
        <v>62</v>
      </c>
      <c r="I6" s="1" t="s">
        <v>58</v>
      </c>
      <c r="J6" s="1">
        <v>171</v>
      </c>
      <c r="K6" s="1">
        <v>87</v>
      </c>
      <c r="L6" s="1">
        <v>29.7</v>
      </c>
      <c r="M6" s="4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  <c r="V6" s="2">
        <v>1</v>
      </c>
      <c r="W6" s="1">
        <v>0</v>
      </c>
      <c r="X6" s="1">
        <v>0</v>
      </c>
      <c r="Y6" s="1">
        <v>165</v>
      </c>
      <c r="Z6" s="1">
        <v>1</v>
      </c>
      <c r="AA6" s="1">
        <v>5</v>
      </c>
      <c r="AB6" s="5" t="s">
        <v>63</v>
      </c>
      <c r="AC6" s="1">
        <v>2</v>
      </c>
      <c r="AD6" s="1">
        <v>205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6" t="s">
        <v>72</v>
      </c>
      <c r="AL6" s="1">
        <v>0</v>
      </c>
      <c r="AM6" s="1">
        <v>0</v>
      </c>
      <c r="AN6" s="1" t="s">
        <v>61</v>
      </c>
      <c r="AO6" s="1">
        <v>1</v>
      </c>
      <c r="AP6" s="1">
        <v>2</v>
      </c>
      <c r="AQ6" s="1">
        <v>2</v>
      </c>
      <c r="AR6" s="1">
        <v>4</v>
      </c>
      <c r="AS6" s="1">
        <v>0</v>
      </c>
      <c r="AT6" s="1">
        <v>35.8</v>
      </c>
      <c r="AU6" s="1">
        <v>26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</row>
    <row r="7" spans="1:55">
      <c r="A7" s="1">
        <v>3</v>
      </c>
      <c r="B7" s="23">
        <v>1</v>
      </c>
      <c r="C7" s="2">
        <v>54</v>
      </c>
      <c r="D7" s="3">
        <v>43458</v>
      </c>
      <c r="E7" s="3">
        <v>43467</v>
      </c>
      <c r="F7" s="1" t="s">
        <v>55</v>
      </c>
      <c r="G7" s="1" t="s">
        <v>75</v>
      </c>
      <c r="H7" s="1" t="s">
        <v>76</v>
      </c>
      <c r="I7" s="1" t="s">
        <v>58</v>
      </c>
      <c r="J7" s="1">
        <v>170</v>
      </c>
      <c r="K7" s="1">
        <v>70</v>
      </c>
      <c r="L7" s="1">
        <v>24.2</v>
      </c>
      <c r="M7" s="4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2">
        <v>0</v>
      </c>
      <c r="W7" s="1">
        <v>0</v>
      </c>
      <c r="X7" s="1">
        <v>0</v>
      </c>
      <c r="Y7" s="1">
        <v>126</v>
      </c>
      <c r="Z7" s="1">
        <v>1</v>
      </c>
      <c r="AA7" s="1">
        <v>18</v>
      </c>
      <c r="AB7" s="5" t="s">
        <v>59</v>
      </c>
      <c r="AC7" s="1">
        <v>2</v>
      </c>
      <c r="AD7" s="1">
        <v>65</v>
      </c>
      <c r="AE7" s="1">
        <v>0</v>
      </c>
      <c r="AF7" s="1">
        <v>0</v>
      </c>
      <c r="AG7" s="1">
        <v>0</v>
      </c>
      <c r="AH7" s="1">
        <v>1</v>
      </c>
      <c r="AI7" s="1">
        <v>0</v>
      </c>
      <c r="AJ7" s="1">
        <v>0</v>
      </c>
      <c r="AK7" s="6" t="s">
        <v>72</v>
      </c>
      <c r="AL7" s="1">
        <v>0</v>
      </c>
      <c r="AM7" s="1">
        <v>0</v>
      </c>
      <c r="AN7" s="1">
        <v>0</v>
      </c>
      <c r="AO7" s="1">
        <v>0</v>
      </c>
      <c r="AP7" s="1">
        <v>7</v>
      </c>
      <c r="AQ7" s="1">
        <v>0</v>
      </c>
      <c r="AR7" s="1">
        <v>5</v>
      </c>
      <c r="AS7" s="1">
        <v>1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</row>
    <row r="8" spans="1:55">
      <c r="A8" s="1">
        <v>1</v>
      </c>
      <c r="B8" s="23">
        <v>1</v>
      </c>
      <c r="C8" s="2">
        <v>37</v>
      </c>
      <c r="D8" s="3">
        <v>43459</v>
      </c>
      <c r="E8" s="3">
        <v>43467</v>
      </c>
      <c r="F8" s="1" t="s">
        <v>69</v>
      </c>
      <c r="G8" s="1" t="s">
        <v>77</v>
      </c>
      <c r="H8" s="1" t="s">
        <v>78</v>
      </c>
      <c r="I8" s="1" t="s">
        <v>58</v>
      </c>
      <c r="J8" s="1">
        <v>158</v>
      </c>
      <c r="K8" s="1">
        <v>45</v>
      </c>
      <c r="L8" s="1">
        <v>18</v>
      </c>
      <c r="M8" s="4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2">
        <v>0</v>
      </c>
      <c r="W8" s="1">
        <v>25</v>
      </c>
      <c r="X8" s="1">
        <v>52.8</v>
      </c>
      <c r="Y8" s="1">
        <v>159</v>
      </c>
      <c r="Z8" s="1">
        <v>2</v>
      </c>
      <c r="AA8" s="1">
        <v>0</v>
      </c>
      <c r="AB8" s="5" t="s">
        <v>63</v>
      </c>
      <c r="AC8" s="1">
        <v>2</v>
      </c>
      <c r="AD8" s="1">
        <v>70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6" t="s">
        <v>79</v>
      </c>
      <c r="AL8" s="1">
        <v>0</v>
      </c>
      <c r="AM8" s="1">
        <v>0</v>
      </c>
      <c r="AN8" s="1">
        <v>0</v>
      </c>
      <c r="AO8" s="1">
        <v>0</v>
      </c>
      <c r="AP8" s="1">
        <v>2</v>
      </c>
      <c r="AQ8" s="1">
        <v>0</v>
      </c>
      <c r="AR8" s="1">
        <v>5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</row>
    <row r="9" spans="1:55">
      <c r="A9" s="1">
        <v>2</v>
      </c>
      <c r="B9" s="23">
        <v>2</v>
      </c>
      <c r="C9" s="2">
        <v>57</v>
      </c>
      <c r="D9" s="3">
        <v>43462</v>
      </c>
      <c r="E9" s="3">
        <v>43467</v>
      </c>
      <c r="F9" s="1" t="s">
        <v>55</v>
      </c>
      <c r="G9" s="1" t="s">
        <v>80</v>
      </c>
      <c r="H9" s="1" t="s">
        <v>81</v>
      </c>
      <c r="I9" s="1" t="s">
        <v>58</v>
      </c>
      <c r="J9" s="1">
        <v>152</v>
      </c>
      <c r="K9" s="1">
        <v>66</v>
      </c>
      <c r="L9" s="1">
        <v>28.5</v>
      </c>
      <c r="M9" s="4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2">
        <v>0</v>
      </c>
      <c r="W9" s="1">
        <v>22</v>
      </c>
      <c r="X9" s="1">
        <v>45.6</v>
      </c>
      <c r="Y9" s="1">
        <v>146</v>
      </c>
      <c r="Z9" s="1">
        <v>0</v>
      </c>
      <c r="AA9" s="1">
        <v>14</v>
      </c>
      <c r="AB9" s="5" t="s">
        <v>63</v>
      </c>
      <c r="AC9" s="1">
        <v>1</v>
      </c>
      <c r="AD9" s="1">
        <v>70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6" t="s">
        <v>82</v>
      </c>
      <c r="AL9" s="1">
        <v>0</v>
      </c>
      <c r="AM9" s="1">
        <v>0</v>
      </c>
      <c r="AN9" s="1">
        <v>0</v>
      </c>
      <c r="AO9" s="1">
        <v>0</v>
      </c>
      <c r="AP9" s="1">
        <v>2</v>
      </c>
      <c r="AQ9" s="1">
        <v>3</v>
      </c>
      <c r="AR9" s="1">
        <v>5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</row>
    <row r="10" spans="1:55">
      <c r="A10" s="1">
        <v>1</v>
      </c>
      <c r="B10" s="23">
        <v>2</v>
      </c>
      <c r="C10" s="2">
        <v>57</v>
      </c>
      <c r="D10" s="3">
        <v>43462</v>
      </c>
      <c r="E10" s="3">
        <v>43467</v>
      </c>
      <c r="F10" s="1" t="s">
        <v>83</v>
      </c>
      <c r="G10" s="1" t="s">
        <v>84</v>
      </c>
      <c r="H10" s="1" t="s">
        <v>85</v>
      </c>
      <c r="I10" s="1" t="s">
        <v>58</v>
      </c>
      <c r="J10" s="1">
        <v>165</v>
      </c>
      <c r="K10" s="1">
        <v>64</v>
      </c>
      <c r="L10" s="1">
        <v>23.5</v>
      </c>
      <c r="M10" s="4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2">
        <v>0</v>
      </c>
      <c r="W10" s="1">
        <v>29</v>
      </c>
      <c r="X10" s="1">
        <v>49.3</v>
      </c>
      <c r="Y10" s="1">
        <v>137</v>
      </c>
      <c r="Z10" s="1">
        <v>1</v>
      </c>
      <c r="AA10" s="1">
        <v>4</v>
      </c>
      <c r="AB10" s="5" t="s">
        <v>63</v>
      </c>
      <c r="AC10" s="1">
        <v>2</v>
      </c>
      <c r="AD10" s="1">
        <v>63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6" t="s">
        <v>82</v>
      </c>
      <c r="AL10" s="1">
        <v>0</v>
      </c>
      <c r="AM10" s="1">
        <v>0</v>
      </c>
      <c r="AN10" s="1" t="s">
        <v>61</v>
      </c>
      <c r="AO10" s="1">
        <v>0</v>
      </c>
      <c r="AP10" s="1">
        <v>6</v>
      </c>
      <c r="AQ10" s="1">
        <v>0</v>
      </c>
      <c r="AR10" s="1">
        <v>5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</row>
    <row r="11" spans="1:55">
      <c r="A11" s="1">
        <v>1</v>
      </c>
      <c r="B11" s="23">
        <v>1</v>
      </c>
      <c r="C11" s="2">
        <v>66</v>
      </c>
      <c r="D11" s="3">
        <v>43463</v>
      </c>
      <c r="E11" s="3">
        <v>43479</v>
      </c>
      <c r="F11" s="1" t="s">
        <v>55</v>
      </c>
      <c r="G11" s="1" t="s">
        <v>56</v>
      </c>
      <c r="H11" s="1" t="s">
        <v>86</v>
      </c>
      <c r="I11" s="1" t="s">
        <v>58</v>
      </c>
      <c r="J11" s="1">
        <v>171</v>
      </c>
      <c r="K11" s="1">
        <v>86</v>
      </c>
      <c r="L11" s="1">
        <v>29.4</v>
      </c>
      <c r="M11" s="4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2">
        <v>0</v>
      </c>
      <c r="W11" s="1">
        <v>20</v>
      </c>
      <c r="X11" s="1">
        <v>44.3</v>
      </c>
      <c r="Y11" s="1">
        <v>144</v>
      </c>
      <c r="Z11" s="1">
        <v>0</v>
      </c>
      <c r="AA11" s="1">
        <v>2</v>
      </c>
      <c r="AB11" s="5" t="s">
        <v>63</v>
      </c>
      <c r="AC11" s="1">
        <v>1</v>
      </c>
      <c r="AD11" s="1">
        <v>140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6" t="s">
        <v>87</v>
      </c>
      <c r="AL11" s="1">
        <v>0</v>
      </c>
      <c r="AM11" s="1">
        <v>0</v>
      </c>
      <c r="AN11" s="1">
        <v>0</v>
      </c>
      <c r="AO11" s="1">
        <v>0</v>
      </c>
      <c r="AP11" s="1">
        <v>2</v>
      </c>
      <c r="AQ11" s="1">
        <v>1</v>
      </c>
      <c r="AR11" s="1">
        <v>4</v>
      </c>
      <c r="AS11" s="1">
        <v>0</v>
      </c>
      <c r="AT11" s="1">
        <v>34.8</v>
      </c>
      <c r="AU11" s="1">
        <v>12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</row>
    <row r="12" spans="1:55">
      <c r="A12" s="1">
        <v>1</v>
      </c>
      <c r="B12" s="23">
        <v>1</v>
      </c>
      <c r="C12" s="2">
        <v>31</v>
      </c>
      <c r="D12" s="3">
        <v>43462</v>
      </c>
      <c r="E12" s="3">
        <v>43473</v>
      </c>
      <c r="F12" s="1" t="s">
        <v>69</v>
      </c>
      <c r="G12" s="1" t="s">
        <v>88</v>
      </c>
      <c r="H12" s="1" t="s">
        <v>89</v>
      </c>
      <c r="I12" s="1" t="s">
        <v>58</v>
      </c>
      <c r="J12" s="1">
        <v>172</v>
      </c>
      <c r="K12" s="1">
        <v>90</v>
      </c>
      <c r="L12" s="1">
        <v>30.4</v>
      </c>
      <c r="M12" s="4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</v>
      </c>
      <c r="V12" s="2">
        <v>1</v>
      </c>
      <c r="W12" s="1">
        <v>26</v>
      </c>
      <c r="X12" s="1">
        <v>48.9</v>
      </c>
      <c r="Y12" s="1">
        <v>154</v>
      </c>
      <c r="Z12" s="1">
        <v>0</v>
      </c>
      <c r="AA12" s="1">
        <v>12</v>
      </c>
      <c r="AB12" s="5" t="s">
        <v>63</v>
      </c>
      <c r="AC12" s="1">
        <v>1</v>
      </c>
      <c r="AD12" s="1">
        <v>266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6" t="s">
        <v>87</v>
      </c>
      <c r="AL12" s="1">
        <v>0</v>
      </c>
      <c r="AM12" s="1">
        <v>0</v>
      </c>
      <c r="AN12" s="1" t="s">
        <v>73</v>
      </c>
      <c r="AO12" s="1">
        <v>0</v>
      </c>
      <c r="AP12" s="1">
        <v>12</v>
      </c>
      <c r="AQ12" s="1">
        <v>3</v>
      </c>
      <c r="AR12" s="1">
        <v>5</v>
      </c>
      <c r="AS12" s="1">
        <v>0</v>
      </c>
      <c r="AT12" s="1">
        <v>37.9</v>
      </c>
      <c r="AU12" s="1">
        <v>19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</row>
    <row r="13" spans="1:55">
      <c r="A13" s="1">
        <v>4</v>
      </c>
      <c r="B13" s="23">
        <v>1</v>
      </c>
      <c r="C13" s="2">
        <v>62</v>
      </c>
      <c r="D13" s="3">
        <v>43467</v>
      </c>
      <c r="E13" s="3">
        <v>43468</v>
      </c>
      <c r="F13" s="1" t="s">
        <v>69</v>
      </c>
      <c r="G13" s="1" t="s">
        <v>90</v>
      </c>
      <c r="H13" s="1" t="s">
        <v>91</v>
      </c>
      <c r="I13" s="1" t="s">
        <v>92</v>
      </c>
      <c r="J13" s="1">
        <v>176</v>
      </c>
      <c r="K13" s="1">
        <v>80</v>
      </c>
      <c r="L13" s="1">
        <v>25.8</v>
      </c>
      <c r="M13" s="4">
        <v>1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2">
        <v>0</v>
      </c>
      <c r="W13" s="1">
        <v>0</v>
      </c>
      <c r="X13" s="1">
        <v>0</v>
      </c>
      <c r="Y13" s="1">
        <v>120</v>
      </c>
      <c r="Z13" s="1">
        <v>2</v>
      </c>
      <c r="AA13" s="1">
        <v>13</v>
      </c>
      <c r="AB13" s="5" t="s">
        <v>63</v>
      </c>
      <c r="AC13" s="1">
        <v>0</v>
      </c>
      <c r="AD13" s="1">
        <v>41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6" t="s">
        <v>87</v>
      </c>
      <c r="AL13" s="1">
        <v>0</v>
      </c>
      <c r="AM13" s="1">
        <v>0</v>
      </c>
      <c r="AN13" s="1">
        <v>0</v>
      </c>
      <c r="AO13" s="1">
        <v>1</v>
      </c>
      <c r="AP13" s="1">
        <v>0</v>
      </c>
      <c r="AQ13" s="1">
        <v>0</v>
      </c>
      <c r="AR13" s="1">
        <v>5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</row>
    <row r="14" spans="1:55">
      <c r="A14" s="1">
        <v>2</v>
      </c>
      <c r="B14" s="23">
        <v>1</v>
      </c>
      <c r="C14" s="2">
        <v>68</v>
      </c>
      <c r="D14" s="3">
        <v>43467</v>
      </c>
      <c r="E14" s="3">
        <v>43472</v>
      </c>
      <c r="F14" s="1" t="s">
        <v>83</v>
      </c>
      <c r="G14" s="1" t="s">
        <v>93</v>
      </c>
      <c r="H14" s="1" t="s">
        <v>94</v>
      </c>
      <c r="I14" s="1" t="s">
        <v>58</v>
      </c>
      <c r="J14" s="1">
        <v>168</v>
      </c>
      <c r="K14" s="1">
        <v>73</v>
      </c>
      <c r="L14" s="1">
        <v>25.8</v>
      </c>
      <c r="M14" s="4">
        <v>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2">
        <v>0</v>
      </c>
      <c r="W14" s="1">
        <v>32</v>
      </c>
      <c r="X14" s="1">
        <v>44.8</v>
      </c>
      <c r="Y14" s="1">
        <v>126</v>
      </c>
      <c r="Z14" s="1">
        <v>2</v>
      </c>
      <c r="AA14" s="1">
        <v>7</v>
      </c>
      <c r="AB14" s="5" t="s">
        <v>59</v>
      </c>
      <c r="AC14" s="1">
        <v>0</v>
      </c>
      <c r="AD14" s="1">
        <v>32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6" t="s">
        <v>87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5</v>
      </c>
      <c r="AS14" s="1">
        <v>0</v>
      </c>
      <c r="AT14" s="1">
        <v>28.4</v>
      </c>
      <c r="AU14" s="1">
        <v>22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</row>
    <row r="15" spans="1:55">
      <c r="A15" s="1">
        <v>1</v>
      </c>
      <c r="B15" s="23">
        <v>2</v>
      </c>
      <c r="C15" s="2">
        <v>25</v>
      </c>
      <c r="D15" s="3">
        <v>43467</v>
      </c>
      <c r="E15" s="3">
        <v>43469</v>
      </c>
      <c r="F15" s="1" t="s">
        <v>55</v>
      </c>
      <c r="G15" s="1" t="s">
        <v>95</v>
      </c>
      <c r="H15" s="1" t="s">
        <v>96</v>
      </c>
      <c r="I15" s="1" t="s">
        <v>58</v>
      </c>
      <c r="J15" s="1">
        <v>169</v>
      </c>
      <c r="K15" s="1">
        <v>68</v>
      </c>
      <c r="L15" s="1">
        <v>23.8</v>
      </c>
      <c r="M15" s="4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2">
        <v>0</v>
      </c>
      <c r="W15" s="1">
        <v>0</v>
      </c>
      <c r="X15" s="1">
        <v>0</v>
      </c>
      <c r="Y15" s="1">
        <v>132</v>
      </c>
      <c r="Z15" s="1">
        <v>2</v>
      </c>
      <c r="AA15" s="1">
        <v>11</v>
      </c>
      <c r="AB15" s="5" t="s">
        <v>97</v>
      </c>
      <c r="AC15" s="1">
        <v>0</v>
      </c>
      <c r="AD15" s="1">
        <v>32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6" t="s">
        <v>98</v>
      </c>
      <c r="AL15" s="1">
        <v>0</v>
      </c>
      <c r="AM15" s="1">
        <v>0</v>
      </c>
      <c r="AN15" s="1">
        <v>0</v>
      </c>
      <c r="AO15" s="1">
        <v>0</v>
      </c>
      <c r="AP15" s="1">
        <v>4</v>
      </c>
      <c r="AQ15" s="1">
        <v>0</v>
      </c>
      <c r="AR15" s="1">
        <v>5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</row>
    <row r="16" spans="1:55">
      <c r="A16" s="1">
        <v>1</v>
      </c>
      <c r="B16" s="23">
        <v>1</v>
      </c>
      <c r="C16" s="2">
        <v>55</v>
      </c>
      <c r="D16" s="3">
        <v>43468</v>
      </c>
      <c r="E16" s="3">
        <v>43479</v>
      </c>
      <c r="F16" s="1" t="s">
        <v>69</v>
      </c>
      <c r="G16" s="1" t="s">
        <v>99</v>
      </c>
      <c r="H16" s="1" t="s">
        <v>100</v>
      </c>
      <c r="I16" s="1" t="s">
        <v>58</v>
      </c>
      <c r="J16" s="1">
        <v>169</v>
      </c>
      <c r="K16" s="1">
        <v>73</v>
      </c>
      <c r="L16" s="1">
        <v>25.5</v>
      </c>
      <c r="M16" s="4">
        <v>0</v>
      </c>
      <c r="N16" s="1">
        <v>1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2">
        <v>1</v>
      </c>
      <c r="W16" s="1">
        <v>32</v>
      </c>
      <c r="X16" s="1">
        <v>47.2</v>
      </c>
      <c r="Y16" s="1">
        <v>170</v>
      </c>
      <c r="Z16" s="1">
        <v>2</v>
      </c>
      <c r="AA16" s="1">
        <v>1</v>
      </c>
      <c r="AB16" s="5" t="s">
        <v>59</v>
      </c>
      <c r="AC16" s="1">
        <v>2</v>
      </c>
      <c r="AD16" s="1">
        <v>283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6" t="s">
        <v>101</v>
      </c>
      <c r="AL16" s="1">
        <v>0</v>
      </c>
      <c r="AM16" s="1">
        <v>0</v>
      </c>
      <c r="AN16" s="1" t="s">
        <v>61</v>
      </c>
      <c r="AO16" s="1">
        <v>0</v>
      </c>
      <c r="AP16" s="1">
        <v>2</v>
      </c>
      <c r="AQ16" s="1">
        <v>2</v>
      </c>
      <c r="AR16" s="1">
        <v>5</v>
      </c>
      <c r="AS16" s="1">
        <v>1</v>
      </c>
      <c r="AT16" s="1">
        <v>37.6</v>
      </c>
      <c r="AU16" s="1">
        <v>25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</row>
    <row r="17" spans="1:55">
      <c r="A17" s="1">
        <v>1</v>
      </c>
      <c r="B17" s="23">
        <v>2</v>
      </c>
      <c r="C17" s="2">
        <v>38</v>
      </c>
      <c r="D17" s="3">
        <v>43467</v>
      </c>
      <c r="E17" s="3">
        <v>43473</v>
      </c>
      <c r="F17" s="1" t="s">
        <v>55</v>
      </c>
      <c r="G17" s="1" t="s">
        <v>102</v>
      </c>
      <c r="H17" s="1" t="s">
        <v>103</v>
      </c>
      <c r="I17" s="1" t="s">
        <v>58</v>
      </c>
      <c r="J17" s="1">
        <v>158</v>
      </c>
      <c r="K17" s="1">
        <v>82</v>
      </c>
      <c r="L17" s="1">
        <v>32.8</v>
      </c>
      <c r="M17" s="4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2">
        <v>0</v>
      </c>
      <c r="W17" s="1">
        <v>22</v>
      </c>
      <c r="X17" s="1">
        <v>45.5</v>
      </c>
      <c r="Y17" s="1">
        <v>141</v>
      </c>
      <c r="Z17" s="1">
        <v>0</v>
      </c>
      <c r="AA17" s="1">
        <v>9</v>
      </c>
      <c r="AB17" s="5" t="s">
        <v>63</v>
      </c>
      <c r="AC17" s="1">
        <v>2</v>
      </c>
      <c r="AD17" s="1">
        <v>115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6" t="s">
        <v>101</v>
      </c>
      <c r="AL17" s="1">
        <v>0</v>
      </c>
      <c r="AM17" s="1">
        <v>0</v>
      </c>
      <c r="AN17" s="1">
        <v>0</v>
      </c>
      <c r="AO17" s="1">
        <v>0</v>
      </c>
      <c r="AP17" s="1">
        <v>2</v>
      </c>
      <c r="AQ17" s="1">
        <v>3</v>
      </c>
      <c r="AR17" s="1">
        <v>5</v>
      </c>
      <c r="AS17" s="1">
        <v>0</v>
      </c>
      <c r="AT17" s="1">
        <v>36.1</v>
      </c>
      <c r="AU17" s="1">
        <v>16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</row>
    <row r="18" spans="1:55">
      <c r="A18" s="1">
        <v>1</v>
      </c>
      <c r="B18" s="23">
        <v>2</v>
      </c>
      <c r="C18" s="2">
        <v>43</v>
      </c>
      <c r="D18" s="3">
        <v>43467</v>
      </c>
      <c r="E18" s="3">
        <v>43475</v>
      </c>
      <c r="F18" s="1" t="s">
        <v>55</v>
      </c>
      <c r="G18" s="1" t="s">
        <v>84</v>
      </c>
      <c r="H18" s="1" t="s">
        <v>104</v>
      </c>
      <c r="I18" s="1" t="s">
        <v>58</v>
      </c>
      <c r="J18" s="1">
        <v>157</v>
      </c>
      <c r="K18" s="1">
        <v>58</v>
      </c>
      <c r="L18" s="1">
        <v>23.5</v>
      </c>
      <c r="M18" s="4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2">
        <v>0</v>
      </c>
      <c r="W18" s="1">
        <v>0</v>
      </c>
      <c r="X18" s="1">
        <v>0</v>
      </c>
      <c r="Y18" s="1">
        <v>139</v>
      </c>
      <c r="Z18" s="1">
        <v>2</v>
      </c>
      <c r="AA18" s="1">
        <v>4</v>
      </c>
      <c r="AB18" s="5" t="s">
        <v>63</v>
      </c>
      <c r="AC18" s="1">
        <v>0</v>
      </c>
      <c r="AD18" s="1">
        <v>63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6" t="s">
        <v>105</v>
      </c>
      <c r="AL18" s="1">
        <v>0</v>
      </c>
      <c r="AM18" s="1">
        <v>0</v>
      </c>
      <c r="AN18" s="1">
        <v>0</v>
      </c>
      <c r="AO18" s="1">
        <v>0</v>
      </c>
      <c r="AP18" s="1">
        <v>4</v>
      </c>
      <c r="AQ18" s="1">
        <v>0</v>
      </c>
      <c r="AR18" s="1">
        <v>5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</row>
    <row r="19" spans="1:55">
      <c r="A19" s="1">
        <v>1</v>
      </c>
      <c r="B19" s="23">
        <v>1</v>
      </c>
      <c r="C19" s="2">
        <v>60</v>
      </c>
      <c r="D19" s="3">
        <v>43469</v>
      </c>
      <c r="E19" s="3">
        <v>43475</v>
      </c>
      <c r="F19" s="1" t="s">
        <v>55</v>
      </c>
      <c r="G19" s="1" t="s">
        <v>106</v>
      </c>
      <c r="H19" s="1" t="s">
        <v>104</v>
      </c>
      <c r="I19" s="1" t="s">
        <v>58</v>
      </c>
      <c r="J19" s="1">
        <v>168</v>
      </c>
      <c r="K19" s="1">
        <v>65</v>
      </c>
      <c r="L19" s="1">
        <v>23</v>
      </c>
      <c r="M19" s="4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2">
        <v>0</v>
      </c>
      <c r="W19" s="1">
        <v>39</v>
      </c>
      <c r="X19" s="1">
        <v>46.2</v>
      </c>
      <c r="Y19" s="1">
        <v>154</v>
      </c>
      <c r="Z19" s="1">
        <v>1</v>
      </c>
      <c r="AA19" s="1">
        <v>4</v>
      </c>
      <c r="AB19" s="5" t="s">
        <v>63</v>
      </c>
      <c r="AC19" s="1">
        <v>2</v>
      </c>
      <c r="AD19" s="1">
        <v>103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6" t="s">
        <v>105</v>
      </c>
      <c r="AL19" s="1">
        <v>0</v>
      </c>
      <c r="AM19" s="1">
        <v>0</v>
      </c>
      <c r="AN19" s="1">
        <v>0</v>
      </c>
      <c r="AO19" s="1">
        <v>0</v>
      </c>
      <c r="AP19" s="1">
        <v>12</v>
      </c>
      <c r="AQ19" s="1">
        <v>1</v>
      </c>
      <c r="AR19" s="1">
        <v>5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</row>
    <row r="20" spans="1:55">
      <c r="A20" s="1">
        <v>1</v>
      </c>
      <c r="B20" s="23">
        <v>2</v>
      </c>
      <c r="C20" s="2">
        <v>67</v>
      </c>
      <c r="D20" s="3">
        <v>43469</v>
      </c>
      <c r="E20" s="3">
        <v>43479</v>
      </c>
      <c r="F20" s="1" t="s">
        <v>83</v>
      </c>
      <c r="G20" s="1" t="s">
        <v>99</v>
      </c>
      <c r="H20" s="1" t="s">
        <v>100</v>
      </c>
      <c r="I20" s="1" t="s">
        <v>58</v>
      </c>
      <c r="J20" s="1">
        <v>160</v>
      </c>
      <c r="K20" s="1">
        <v>70</v>
      </c>
      <c r="L20" s="1">
        <v>27.3</v>
      </c>
      <c r="M20" s="4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2">
        <v>0</v>
      </c>
      <c r="W20" s="1">
        <v>27</v>
      </c>
      <c r="X20" s="1">
        <v>45.1</v>
      </c>
      <c r="Y20" s="1">
        <v>135</v>
      </c>
      <c r="Z20" s="1">
        <v>2</v>
      </c>
      <c r="AA20" s="1">
        <v>1</v>
      </c>
      <c r="AB20" s="5" t="s">
        <v>63</v>
      </c>
      <c r="AC20" s="1">
        <v>2</v>
      </c>
      <c r="AD20" s="1">
        <v>85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6" t="s">
        <v>105</v>
      </c>
      <c r="AL20" s="1">
        <v>0</v>
      </c>
      <c r="AM20" s="1">
        <v>0</v>
      </c>
      <c r="AN20" s="1">
        <v>0</v>
      </c>
      <c r="AO20" s="1">
        <v>0</v>
      </c>
      <c r="AP20" s="1">
        <v>2</v>
      </c>
      <c r="AQ20" s="1">
        <v>1</v>
      </c>
      <c r="AR20" s="1">
        <v>5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</row>
    <row r="21" spans="1:55">
      <c r="A21" s="1">
        <v>1</v>
      </c>
      <c r="B21" s="23">
        <v>1</v>
      </c>
      <c r="C21" s="2">
        <v>64</v>
      </c>
      <c r="D21" s="3">
        <v>43467</v>
      </c>
      <c r="E21" s="3">
        <v>43482</v>
      </c>
      <c r="F21" s="1" t="s">
        <v>55</v>
      </c>
      <c r="G21" s="1" t="s">
        <v>107</v>
      </c>
      <c r="H21" s="1" t="s">
        <v>100</v>
      </c>
      <c r="I21" s="1" t="s">
        <v>58</v>
      </c>
      <c r="J21" s="1">
        <v>182</v>
      </c>
      <c r="K21" s="1">
        <v>91</v>
      </c>
      <c r="L21" s="1">
        <v>27.4</v>
      </c>
      <c r="M21" s="4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2">
        <v>0</v>
      </c>
      <c r="W21" s="1">
        <v>25</v>
      </c>
      <c r="X21" s="1">
        <v>49.1</v>
      </c>
      <c r="Y21" s="1">
        <v>149</v>
      </c>
      <c r="Z21" s="1">
        <v>2</v>
      </c>
      <c r="AA21" s="1">
        <v>1</v>
      </c>
      <c r="AB21" s="5" t="s">
        <v>59</v>
      </c>
      <c r="AC21" s="1">
        <v>2</v>
      </c>
      <c r="AD21" s="1">
        <v>142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6" t="s">
        <v>108</v>
      </c>
      <c r="AL21" s="1">
        <v>0</v>
      </c>
      <c r="AM21" s="1">
        <v>0</v>
      </c>
      <c r="AN21" s="1">
        <v>0</v>
      </c>
      <c r="AO21" s="1">
        <v>0</v>
      </c>
      <c r="AP21" s="1">
        <v>2</v>
      </c>
      <c r="AQ21" s="1">
        <v>3</v>
      </c>
      <c r="AR21" s="1">
        <v>5</v>
      </c>
      <c r="AS21" s="1">
        <v>0</v>
      </c>
      <c r="AT21" s="24">
        <v>38</v>
      </c>
      <c r="AU21" s="1">
        <v>22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</row>
    <row r="22" spans="1:55">
      <c r="A22" s="1">
        <v>1</v>
      </c>
      <c r="B22" s="23">
        <v>1</v>
      </c>
      <c r="C22" s="2">
        <v>64</v>
      </c>
      <c r="D22" s="3">
        <v>43469</v>
      </c>
      <c r="E22" s="3">
        <v>43479</v>
      </c>
      <c r="F22" s="1" t="s">
        <v>83</v>
      </c>
      <c r="G22" s="1" t="s">
        <v>70</v>
      </c>
      <c r="H22" s="1" t="s">
        <v>109</v>
      </c>
      <c r="I22" s="1" t="s">
        <v>58</v>
      </c>
      <c r="J22" s="1">
        <v>182</v>
      </c>
      <c r="K22" s="1">
        <v>91</v>
      </c>
      <c r="L22" s="1">
        <v>27.4</v>
      </c>
      <c r="M22" s="4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2">
        <v>1</v>
      </c>
      <c r="W22" s="1">
        <v>28</v>
      </c>
      <c r="X22" s="1">
        <v>46.6</v>
      </c>
      <c r="Y22" s="1">
        <v>167</v>
      </c>
      <c r="Z22" s="1">
        <v>2</v>
      </c>
      <c r="AA22" s="1">
        <v>11</v>
      </c>
      <c r="AB22" s="5" t="s">
        <v>63</v>
      </c>
      <c r="AC22" s="1">
        <v>1</v>
      </c>
      <c r="AD22" s="1">
        <v>118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6" t="s">
        <v>105</v>
      </c>
      <c r="AL22" s="1">
        <v>0</v>
      </c>
      <c r="AM22" s="1">
        <v>0</v>
      </c>
      <c r="AN22" s="1">
        <v>0</v>
      </c>
      <c r="AO22" s="1">
        <v>0</v>
      </c>
      <c r="AP22" s="1">
        <v>7</v>
      </c>
      <c r="AQ22" s="1">
        <v>0</v>
      </c>
      <c r="AR22" s="1">
        <v>5</v>
      </c>
      <c r="AS22" s="1">
        <v>0</v>
      </c>
      <c r="AT22" s="1">
        <v>34.2</v>
      </c>
      <c r="AU22" s="1">
        <v>20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</row>
    <row r="23" spans="1:55">
      <c r="A23" s="1">
        <v>1</v>
      </c>
      <c r="B23" s="23">
        <v>2</v>
      </c>
      <c r="C23" s="2">
        <v>22</v>
      </c>
      <c r="D23" s="3">
        <v>43472</v>
      </c>
      <c r="E23" s="3">
        <v>43476</v>
      </c>
      <c r="F23" s="1" t="s">
        <v>55</v>
      </c>
      <c r="G23" s="1" t="s">
        <v>110</v>
      </c>
      <c r="H23" s="1" t="s">
        <v>111</v>
      </c>
      <c r="I23" s="1" t="s">
        <v>58</v>
      </c>
      <c r="J23" s="1">
        <v>162</v>
      </c>
      <c r="K23" s="1">
        <v>55</v>
      </c>
      <c r="L23" s="1">
        <v>20.9</v>
      </c>
      <c r="M23" s="4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2">
        <v>0</v>
      </c>
      <c r="W23" s="1">
        <v>20</v>
      </c>
      <c r="X23" s="1">
        <v>47.2</v>
      </c>
      <c r="Y23" s="1">
        <v>135</v>
      </c>
      <c r="Z23" s="1">
        <v>2</v>
      </c>
      <c r="AA23" s="1">
        <v>11</v>
      </c>
      <c r="AB23" s="5" t="s">
        <v>63</v>
      </c>
      <c r="AC23" s="1">
        <v>2</v>
      </c>
      <c r="AD23" s="1">
        <v>47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6" t="s">
        <v>112</v>
      </c>
      <c r="AL23" s="1">
        <v>0</v>
      </c>
      <c r="AM23" s="1">
        <v>0</v>
      </c>
      <c r="AN23" s="1">
        <v>0</v>
      </c>
      <c r="AO23" s="1">
        <v>0</v>
      </c>
      <c r="AP23" s="1">
        <v>2</v>
      </c>
      <c r="AQ23" s="1">
        <v>3</v>
      </c>
      <c r="AR23" s="1">
        <v>5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</row>
    <row r="24" spans="1:55">
      <c r="A24" s="1">
        <v>1</v>
      </c>
      <c r="B24" s="23">
        <v>1</v>
      </c>
      <c r="C24" s="2">
        <v>58</v>
      </c>
      <c r="D24" s="3">
        <v>43474</v>
      </c>
      <c r="E24" s="3">
        <v>43480</v>
      </c>
      <c r="F24" s="1" t="s">
        <v>83</v>
      </c>
      <c r="G24" s="1" t="s">
        <v>107</v>
      </c>
      <c r="H24" s="1" t="s">
        <v>62</v>
      </c>
      <c r="I24" s="1" t="s">
        <v>58</v>
      </c>
      <c r="J24" s="1">
        <v>163</v>
      </c>
      <c r="K24" s="1">
        <v>72</v>
      </c>
      <c r="L24" s="1">
        <v>27.1</v>
      </c>
      <c r="M24" s="4">
        <v>1</v>
      </c>
      <c r="N24" s="1">
        <v>0</v>
      </c>
      <c r="O24" s="1">
        <v>0</v>
      </c>
      <c r="P24" s="1">
        <v>0</v>
      </c>
      <c r="Q24" s="1">
        <v>0</v>
      </c>
      <c r="R24" s="1">
        <v>1</v>
      </c>
      <c r="S24" s="1">
        <v>0</v>
      </c>
      <c r="T24" s="1">
        <v>0</v>
      </c>
      <c r="U24" s="1">
        <v>0</v>
      </c>
      <c r="V24" s="2">
        <v>0</v>
      </c>
      <c r="W24" s="1">
        <v>28</v>
      </c>
      <c r="X24" s="1">
        <v>48.6</v>
      </c>
      <c r="Y24" s="1">
        <v>142</v>
      </c>
      <c r="Z24" s="1">
        <v>2</v>
      </c>
      <c r="AA24" s="1">
        <v>7</v>
      </c>
      <c r="AB24" s="5" t="s">
        <v>63</v>
      </c>
      <c r="AC24" s="1">
        <v>2</v>
      </c>
      <c r="AD24" s="1">
        <v>119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6" t="s">
        <v>112</v>
      </c>
      <c r="AL24" s="1">
        <v>0</v>
      </c>
      <c r="AM24" s="1">
        <v>0</v>
      </c>
      <c r="AN24" s="1">
        <v>0</v>
      </c>
      <c r="AO24" s="1">
        <v>0</v>
      </c>
      <c r="AP24" s="1">
        <v>2</v>
      </c>
      <c r="AQ24" s="1">
        <v>1</v>
      </c>
      <c r="AR24" s="1">
        <v>5</v>
      </c>
      <c r="AS24" s="1">
        <v>0</v>
      </c>
      <c r="AT24" s="1">
        <v>38.5</v>
      </c>
      <c r="AU24" s="1">
        <v>21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</row>
    <row r="25" spans="1:55">
      <c r="A25" s="1">
        <v>1</v>
      </c>
      <c r="B25" s="23">
        <v>2</v>
      </c>
      <c r="C25" s="2">
        <v>31</v>
      </c>
      <c r="D25" s="3">
        <v>43475</v>
      </c>
      <c r="E25" s="3">
        <v>43509</v>
      </c>
      <c r="F25" s="1" t="s">
        <v>55</v>
      </c>
      <c r="G25" s="1" t="s">
        <v>102</v>
      </c>
      <c r="H25" s="1" t="s">
        <v>113</v>
      </c>
      <c r="I25" s="1" t="s">
        <v>58</v>
      </c>
      <c r="J25" s="1">
        <v>165</v>
      </c>
      <c r="K25" s="1">
        <v>62</v>
      </c>
      <c r="L25" s="1">
        <v>22.7</v>
      </c>
      <c r="M25" s="4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2">
        <v>0</v>
      </c>
      <c r="W25" s="1">
        <v>25</v>
      </c>
      <c r="X25" s="1">
        <v>49.4</v>
      </c>
      <c r="Y25" s="1">
        <v>133</v>
      </c>
      <c r="Z25" s="1">
        <v>2</v>
      </c>
      <c r="AA25" s="1">
        <v>12</v>
      </c>
      <c r="AB25" s="5" t="s">
        <v>63</v>
      </c>
      <c r="AC25" s="1">
        <v>1</v>
      </c>
      <c r="AD25" s="1">
        <v>330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6" t="s">
        <v>114</v>
      </c>
      <c r="AL25" s="1">
        <v>0</v>
      </c>
      <c r="AM25" s="1">
        <v>0</v>
      </c>
      <c r="AN25" s="1">
        <v>0</v>
      </c>
      <c r="AO25" s="1">
        <v>0</v>
      </c>
      <c r="AP25" s="1" t="s">
        <v>115</v>
      </c>
      <c r="AQ25" s="1">
        <v>0</v>
      </c>
      <c r="AR25" s="1">
        <v>5</v>
      </c>
      <c r="AS25" s="1">
        <v>0</v>
      </c>
      <c r="AT25" s="1">
        <v>28.5</v>
      </c>
      <c r="AU25" s="1">
        <v>11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</row>
    <row r="26" spans="1:55">
      <c r="A26" s="1">
        <v>2</v>
      </c>
      <c r="B26" s="23">
        <v>1</v>
      </c>
      <c r="C26" s="2">
        <v>87</v>
      </c>
      <c r="D26" s="3">
        <v>43476</v>
      </c>
      <c r="E26" s="3">
        <v>43483</v>
      </c>
      <c r="F26" s="1" t="s">
        <v>83</v>
      </c>
      <c r="G26" s="1" t="s">
        <v>116</v>
      </c>
      <c r="H26" s="1" t="s">
        <v>117</v>
      </c>
      <c r="I26" s="1" t="s">
        <v>58</v>
      </c>
      <c r="J26" s="1">
        <v>177</v>
      </c>
      <c r="K26" s="1">
        <v>89</v>
      </c>
      <c r="L26" s="1">
        <v>28.4</v>
      </c>
      <c r="M26" s="4">
        <v>1</v>
      </c>
      <c r="N26" s="1">
        <v>1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2">
        <v>0</v>
      </c>
      <c r="W26" s="1">
        <v>23</v>
      </c>
      <c r="X26" s="1">
        <v>47.7</v>
      </c>
      <c r="Y26" s="1">
        <v>151</v>
      </c>
      <c r="Z26" s="1">
        <v>2</v>
      </c>
      <c r="AA26" s="1">
        <v>11</v>
      </c>
      <c r="AB26" s="5" t="s">
        <v>59</v>
      </c>
      <c r="AC26" s="1">
        <v>2</v>
      </c>
      <c r="AD26" s="1">
        <v>114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6" t="s">
        <v>118</v>
      </c>
      <c r="AL26" s="1">
        <v>0</v>
      </c>
      <c r="AM26" s="1">
        <v>0</v>
      </c>
      <c r="AN26" s="1">
        <v>0</v>
      </c>
      <c r="AO26" s="1">
        <v>0</v>
      </c>
      <c r="AP26" s="1">
        <v>2</v>
      </c>
      <c r="AQ26" s="1">
        <v>3</v>
      </c>
      <c r="AR26" s="1">
        <v>1</v>
      </c>
      <c r="AS26" s="1">
        <v>0</v>
      </c>
      <c r="AT26" s="1">
        <v>40.3</v>
      </c>
      <c r="AU26" s="1">
        <v>19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</row>
    <row r="27" spans="1:55">
      <c r="A27" s="1">
        <v>2</v>
      </c>
      <c r="B27" s="23">
        <v>2</v>
      </c>
      <c r="C27" s="2">
        <v>68</v>
      </c>
      <c r="D27" s="3">
        <v>43479</v>
      </c>
      <c r="E27" s="3">
        <v>43487</v>
      </c>
      <c r="F27" s="1" t="s">
        <v>55</v>
      </c>
      <c r="G27" s="1" t="s">
        <v>102</v>
      </c>
      <c r="H27" s="1" t="s">
        <v>113</v>
      </c>
      <c r="I27" s="1" t="s">
        <v>58</v>
      </c>
      <c r="J27" s="1">
        <v>149</v>
      </c>
      <c r="K27" s="1">
        <v>51</v>
      </c>
      <c r="L27" s="1">
        <v>22.9</v>
      </c>
      <c r="M27" s="4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2">
        <v>0</v>
      </c>
      <c r="W27" s="1">
        <v>20</v>
      </c>
      <c r="X27" s="1">
        <v>42.9</v>
      </c>
      <c r="Y27" s="1">
        <v>134</v>
      </c>
      <c r="Z27" s="1">
        <v>2</v>
      </c>
      <c r="AA27" s="1">
        <v>5</v>
      </c>
      <c r="AB27" s="5" t="s">
        <v>63</v>
      </c>
      <c r="AC27" s="1">
        <v>2</v>
      </c>
      <c r="AD27" s="1">
        <v>81</v>
      </c>
      <c r="AE27" s="1">
        <v>0</v>
      </c>
      <c r="AF27" s="1">
        <v>0</v>
      </c>
      <c r="AG27" s="1">
        <v>0</v>
      </c>
      <c r="AH27" s="1">
        <v>1</v>
      </c>
      <c r="AI27" s="1">
        <v>1</v>
      </c>
      <c r="AJ27" s="1">
        <v>0</v>
      </c>
      <c r="AK27" s="6" t="s">
        <v>119</v>
      </c>
      <c r="AL27" s="1">
        <v>0</v>
      </c>
      <c r="AM27" s="1">
        <v>0</v>
      </c>
      <c r="AN27" s="1">
        <v>0</v>
      </c>
      <c r="AO27" s="1">
        <v>0</v>
      </c>
      <c r="AP27" s="1">
        <v>2</v>
      </c>
      <c r="AQ27" s="1">
        <v>1</v>
      </c>
      <c r="AR27" s="1">
        <v>1</v>
      </c>
      <c r="AS27" s="1">
        <v>0</v>
      </c>
      <c r="AT27" s="1">
        <v>35.6</v>
      </c>
      <c r="AU27" s="1">
        <v>18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</row>
    <row r="28" spans="1:55">
      <c r="A28" s="1">
        <v>1</v>
      </c>
      <c r="B28" s="23">
        <v>2</v>
      </c>
      <c r="C28" s="2">
        <v>66</v>
      </c>
      <c r="D28" s="3">
        <v>43479</v>
      </c>
      <c r="E28" s="3">
        <v>43482</v>
      </c>
      <c r="F28" s="1" t="s">
        <v>55</v>
      </c>
      <c r="G28" s="1" t="s">
        <v>120</v>
      </c>
      <c r="H28" s="1" t="s">
        <v>121</v>
      </c>
      <c r="I28" s="1" t="s">
        <v>58</v>
      </c>
      <c r="J28" s="1">
        <v>154</v>
      </c>
      <c r="K28" s="1">
        <v>57</v>
      </c>
      <c r="L28" s="1">
        <v>24</v>
      </c>
      <c r="M28" s="4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2">
        <v>0</v>
      </c>
      <c r="W28" s="1">
        <v>32</v>
      </c>
      <c r="X28" s="1">
        <v>43.8</v>
      </c>
      <c r="Y28" s="1">
        <v>138</v>
      </c>
      <c r="Z28" s="1">
        <v>2</v>
      </c>
      <c r="AA28" s="1">
        <v>3</v>
      </c>
      <c r="AB28" s="5" t="s">
        <v>63</v>
      </c>
      <c r="AC28" s="1">
        <v>2</v>
      </c>
      <c r="AD28" s="1">
        <v>41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6" t="s">
        <v>119</v>
      </c>
      <c r="AL28" s="1">
        <v>0</v>
      </c>
      <c r="AM28" s="1">
        <v>0</v>
      </c>
      <c r="AN28" s="1">
        <v>0</v>
      </c>
      <c r="AO28" s="1">
        <v>0</v>
      </c>
      <c r="AP28" s="1">
        <v>15</v>
      </c>
      <c r="AQ28" s="1">
        <v>0</v>
      </c>
      <c r="AR28" s="1">
        <v>5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</row>
    <row r="29" spans="1:55">
      <c r="A29" s="1">
        <v>1</v>
      </c>
      <c r="B29" s="23">
        <v>1</v>
      </c>
      <c r="C29" s="2">
        <v>15</v>
      </c>
      <c r="D29" s="3">
        <v>43479</v>
      </c>
      <c r="E29" s="3">
        <v>43486</v>
      </c>
      <c r="F29" s="1" t="s">
        <v>55</v>
      </c>
      <c r="G29" s="1" t="s">
        <v>122</v>
      </c>
      <c r="H29" s="1" t="s">
        <v>66</v>
      </c>
      <c r="I29" s="1" t="s">
        <v>58</v>
      </c>
      <c r="J29" s="2">
        <v>160</v>
      </c>
      <c r="K29" s="1">
        <v>36</v>
      </c>
      <c r="L29" s="1">
        <v>14</v>
      </c>
      <c r="M29" s="4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2">
        <v>0</v>
      </c>
      <c r="W29" s="1">
        <v>0</v>
      </c>
      <c r="X29" s="1">
        <v>0</v>
      </c>
      <c r="Y29" s="1">
        <v>124</v>
      </c>
      <c r="Z29" s="1">
        <v>0</v>
      </c>
      <c r="AA29" s="1">
        <v>11</v>
      </c>
      <c r="AB29" s="5" t="s">
        <v>63</v>
      </c>
      <c r="AC29" s="1">
        <v>1</v>
      </c>
      <c r="AD29" s="1">
        <v>127</v>
      </c>
      <c r="AE29" s="1">
        <v>0</v>
      </c>
      <c r="AF29" s="1">
        <v>0</v>
      </c>
      <c r="AG29" s="1">
        <v>0</v>
      </c>
      <c r="AH29" s="1">
        <v>1</v>
      </c>
      <c r="AI29" s="1">
        <v>0</v>
      </c>
      <c r="AJ29" s="1">
        <v>0</v>
      </c>
      <c r="AK29" s="6" t="s">
        <v>119</v>
      </c>
      <c r="AL29" s="1">
        <v>0</v>
      </c>
      <c r="AM29" s="1">
        <v>0</v>
      </c>
      <c r="AN29" s="1">
        <v>0</v>
      </c>
      <c r="AO29" s="1">
        <v>0</v>
      </c>
      <c r="AP29" s="1">
        <v>9</v>
      </c>
      <c r="AQ29" s="1">
        <v>0</v>
      </c>
      <c r="AR29" s="1">
        <v>5</v>
      </c>
      <c r="AS29" s="1">
        <v>0</v>
      </c>
      <c r="AT29" s="1">
        <v>32.1</v>
      </c>
      <c r="AU29" s="1">
        <v>18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</row>
    <row r="30" spans="1:55">
      <c r="A30" s="1">
        <v>1</v>
      </c>
      <c r="B30" s="23">
        <v>2</v>
      </c>
      <c r="C30" s="2">
        <v>74</v>
      </c>
      <c r="D30" s="3">
        <v>43479</v>
      </c>
      <c r="E30" s="3">
        <v>43483</v>
      </c>
      <c r="F30" s="1" t="s">
        <v>83</v>
      </c>
      <c r="G30" s="1" t="s">
        <v>123</v>
      </c>
      <c r="H30" s="1" t="s">
        <v>124</v>
      </c>
      <c r="I30" s="1" t="s">
        <v>58</v>
      </c>
      <c r="J30" s="1">
        <v>152</v>
      </c>
      <c r="K30" s="1">
        <v>48</v>
      </c>
      <c r="L30" s="1">
        <v>20.7</v>
      </c>
      <c r="M30" s="4">
        <v>1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2">
        <v>0</v>
      </c>
      <c r="W30" s="1">
        <v>0</v>
      </c>
      <c r="X30" s="1">
        <v>0</v>
      </c>
      <c r="Y30" s="1">
        <v>120</v>
      </c>
      <c r="Z30" s="1">
        <v>2</v>
      </c>
      <c r="AA30" s="1">
        <v>13</v>
      </c>
      <c r="AB30" s="5" t="s">
        <v>63</v>
      </c>
      <c r="AC30" s="1">
        <v>5</v>
      </c>
      <c r="AD30" s="1">
        <v>85</v>
      </c>
      <c r="AE30" s="1">
        <v>0</v>
      </c>
      <c r="AF30" s="1">
        <v>0</v>
      </c>
      <c r="AG30" s="1">
        <v>0</v>
      </c>
      <c r="AH30" s="1">
        <v>1</v>
      </c>
      <c r="AI30" s="1">
        <v>0</v>
      </c>
      <c r="AJ30" s="1">
        <v>0</v>
      </c>
      <c r="AK30" s="6" t="s">
        <v>119</v>
      </c>
      <c r="AL30" s="1">
        <v>0</v>
      </c>
      <c r="AM30" s="1">
        <v>0</v>
      </c>
      <c r="AN30" s="1" t="s">
        <v>61</v>
      </c>
      <c r="AO30" s="1">
        <v>0</v>
      </c>
      <c r="AP30" s="1">
        <v>3</v>
      </c>
      <c r="AQ30" s="1">
        <v>0</v>
      </c>
      <c r="AR30" s="1">
        <v>5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</row>
    <row r="31" spans="1:55">
      <c r="A31" s="1">
        <v>1</v>
      </c>
      <c r="B31" s="23">
        <v>1</v>
      </c>
      <c r="C31" s="2">
        <v>60</v>
      </c>
      <c r="D31" s="3">
        <v>43507</v>
      </c>
      <c r="E31" s="3">
        <v>43530</v>
      </c>
      <c r="F31" s="1" t="s">
        <v>83</v>
      </c>
      <c r="G31" s="1" t="s">
        <v>99</v>
      </c>
      <c r="H31" s="1" t="s">
        <v>62</v>
      </c>
      <c r="I31" s="1" t="s">
        <v>125</v>
      </c>
      <c r="J31" s="1">
        <v>168</v>
      </c>
      <c r="K31" s="1">
        <v>69</v>
      </c>
      <c r="L31" s="1">
        <v>24.4</v>
      </c>
      <c r="M31" s="4">
        <v>1</v>
      </c>
      <c r="N31" s="1">
        <v>0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2">
        <v>1</v>
      </c>
      <c r="W31" s="1">
        <v>31</v>
      </c>
      <c r="X31" s="1">
        <v>41.5</v>
      </c>
      <c r="Y31" s="1">
        <v>146</v>
      </c>
      <c r="Z31" s="1">
        <v>0</v>
      </c>
      <c r="AA31" s="1">
        <v>1</v>
      </c>
      <c r="AB31" s="5" t="s">
        <v>63</v>
      </c>
      <c r="AC31" s="1">
        <v>6</v>
      </c>
      <c r="AD31" s="1">
        <v>85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6" t="s">
        <v>126</v>
      </c>
      <c r="AL31" s="1">
        <v>0</v>
      </c>
      <c r="AM31" s="1">
        <v>0</v>
      </c>
      <c r="AN31" s="1">
        <v>0</v>
      </c>
      <c r="AO31" s="1">
        <v>0</v>
      </c>
      <c r="AP31" s="1">
        <v>2</v>
      </c>
      <c r="AQ31" s="1">
        <v>2</v>
      </c>
      <c r="AR31" s="1">
        <v>5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</row>
    <row r="32" spans="1:55">
      <c r="A32" s="1">
        <v>1</v>
      </c>
      <c r="B32" s="23">
        <v>2</v>
      </c>
      <c r="C32" s="2">
        <v>62</v>
      </c>
      <c r="D32" s="3">
        <v>43507</v>
      </c>
      <c r="E32" s="3">
        <v>43511</v>
      </c>
      <c r="F32" s="1" t="s">
        <v>83</v>
      </c>
      <c r="G32" s="1" t="s">
        <v>127</v>
      </c>
      <c r="H32" s="1" t="s">
        <v>128</v>
      </c>
      <c r="I32" s="1" t="s">
        <v>58</v>
      </c>
      <c r="J32" s="1">
        <v>152</v>
      </c>
      <c r="K32" s="1">
        <v>51</v>
      </c>
      <c r="L32" s="1">
        <v>22.07</v>
      </c>
      <c r="M32" s="4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2">
        <v>0</v>
      </c>
      <c r="W32" s="1">
        <v>0</v>
      </c>
      <c r="X32" s="1">
        <v>0</v>
      </c>
      <c r="Y32" s="1">
        <v>130</v>
      </c>
      <c r="Z32" s="1">
        <v>0</v>
      </c>
      <c r="AA32" s="1">
        <v>11</v>
      </c>
      <c r="AB32" s="5" t="s">
        <v>63</v>
      </c>
      <c r="AC32" s="1">
        <v>0</v>
      </c>
      <c r="AD32" s="1">
        <v>34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6" t="s">
        <v>126</v>
      </c>
      <c r="AL32" s="1">
        <v>0</v>
      </c>
      <c r="AM32" s="1">
        <v>0</v>
      </c>
      <c r="AN32" s="1">
        <v>0</v>
      </c>
      <c r="AO32" s="1">
        <v>0</v>
      </c>
      <c r="AP32" s="1">
        <v>2</v>
      </c>
      <c r="AQ32" s="1">
        <v>0</v>
      </c>
      <c r="AR32" s="1">
        <v>5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</row>
    <row r="33" spans="2:55">
      <c r="B33" s="23">
        <v>1</v>
      </c>
      <c r="C33" s="2">
        <v>59</v>
      </c>
      <c r="D33" s="3">
        <v>45454</v>
      </c>
      <c r="E33" s="3">
        <v>45474</v>
      </c>
      <c r="F33" s="1" t="s">
        <v>83</v>
      </c>
      <c r="G33" s="1" t="s">
        <v>129</v>
      </c>
      <c r="J33" s="1">
        <v>173</v>
      </c>
      <c r="K33" s="1">
        <v>65</v>
      </c>
      <c r="L33" s="25">
        <f t="shared" ref="L33:L47" si="0">ROUND(K33/POWER(J33/100,2),1)</f>
        <v>21.7</v>
      </c>
      <c r="M33" s="4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1</v>
      </c>
      <c r="V33" s="2">
        <v>1</v>
      </c>
      <c r="W33" s="1">
        <v>22.6</v>
      </c>
      <c r="X33" s="1">
        <v>42.6</v>
      </c>
      <c r="Y33" s="1">
        <v>119</v>
      </c>
      <c r="Z33" s="1">
        <v>0</v>
      </c>
      <c r="AA33" s="1">
        <v>5</v>
      </c>
      <c r="AB33" s="5" t="s">
        <v>130</v>
      </c>
      <c r="AC33" s="1">
        <v>14</v>
      </c>
      <c r="AD33" s="1">
        <v>289</v>
      </c>
      <c r="AE33" s="1">
        <v>0</v>
      </c>
      <c r="AF33" s="1">
        <v>0</v>
      </c>
      <c r="AG33" s="2">
        <v>1</v>
      </c>
      <c r="AH33" s="1">
        <v>0</v>
      </c>
      <c r="AI33" s="1">
        <v>1</v>
      </c>
      <c r="AJ33" s="1">
        <v>0</v>
      </c>
      <c r="AK33" s="6" t="s">
        <v>131</v>
      </c>
      <c r="AL33" s="1">
        <v>0</v>
      </c>
      <c r="AM33" s="1" t="s">
        <v>132</v>
      </c>
      <c r="AN33" s="1">
        <v>0</v>
      </c>
      <c r="AO33" s="1">
        <v>0</v>
      </c>
      <c r="AP33" s="1">
        <v>2</v>
      </c>
      <c r="AQ33" s="1">
        <v>2</v>
      </c>
      <c r="AR33" s="1">
        <v>2</v>
      </c>
      <c r="AS33" s="1">
        <v>1</v>
      </c>
      <c r="AT33" s="1">
        <v>29.5</v>
      </c>
      <c r="AU33" s="1">
        <v>18.8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</row>
    <row r="34" spans="2:55">
      <c r="B34" s="23">
        <v>1</v>
      </c>
      <c r="C34" s="2">
        <v>69</v>
      </c>
      <c r="D34" s="3">
        <v>45342</v>
      </c>
      <c r="E34" s="3">
        <v>45352</v>
      </c>
      <c r="F34" s="1" t="s">
        <v>83</v>
      </c>
      <c r="G34" s="1" t="s">
        <v>88</v>
      </c>
      <c r="J34" s="1">
        <v>172</v>
      </c>
      <c r="K34" s="1">
        <v>65</v>
      </c>
      <c r="L34" s="25">
        <f t="shared" si="0"/>
        <v>22</v>
      </c>
      <c r="M34" s="4">
        <v>0</v>
      </c>
      <c r="N34" s="1">
        <v>0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2">
        <v>1</v>
      </c>
      <c r="W34" s="1">
        <v>26.3</v>
      </c>
      <c r="X34" s="1">
        <v>43.3</v>
      </c>
      <c r="Y34" s="1">
        <v>145</v>
      </c>
      <c r="Z34" s="1">
        <v>1</v>
      </c>
      <c r="AA34" s="1">
        <v>12</v>
      </c>
      <c r="AB34" s="5" t="s">
        <v>130</v>
      </c>
      <c r="AC34" s="1">
        <v>2</v>
      </c>
      <c r="AD34" s="1">
        <v>339</v>
      </c>
      <c r="AE34" s="1">
        <v>0</v>
      </c>
      <c r="AF34" s="1">
        <v>0</v>
      </c>
      <c r="AG34" s="2">
        <v>1</v>
      </c>
      <c r="AH34" s="1">
        <v>0</v>
      </c>
      <c r="AI34" s="1">
        <v>0</v>
      </c>
      <c r="AJ34" s="1">
        <v>0</v>
      </c>
      <c r="AK34" s="6" t="s">
        <v>133</v>
      </c>
      <c r="AL34" s="1">
        <v>0</v>
      </c>
      <c r="AM34" s="1" t="s">
        <v>89</v>
      </c>
      <c r="AN34" s="1">
        <v>0</v>
      </c>
      <c r="AO34" s="1">
        <v>0</v>
      </c>
      <c r="AP34" s="1">
        <v>2</v>
      </c>
      <c r="AQ34" s="25">
        <v>3</v>
      </c>
      <c r="AR34" s="1">
        <v>2</v>
      </c>
      <c r="AS34" s="1">
        <v>0</v>
      </c>
      <c r="AT34" s="1">
        <v>30.2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</row>
    <row r="35" spans="2:55">
      <c r="B35" s="23">
        <v>1</v>
      </c>
      <c r="C35" s="2">
        <v>62</v>
      </c>
      <c r="D35" s="3">
        <v>45340</v>
      </c>
      <c r="E35" s="3">
        <v>45348</v>
      </c>
      <c r="F35" s="1" t="s">
        <v>83</v>
      </c>
      <c r="G35" s="1" t="s">
        <v>99</v>
      </c>
      <c r="J35" s="1">
        <v>163</v>
      </c>
      <c r="K35" s="1">
        <v>60</v>
      </c>
      <c r="L35" s="25">
        <f t="shared" si="0"/>
        <v>22.6</v>
      </c>
      <c r="M35" s="4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</v>
      </c>
      <c r="V35" s="2">
        <v>0</v>
      </c>
      <c r="W35" s="1">
        <v>22.6</v>
      </c>
      <c r="X35" s="1">
        <v>43.1</v>
      </c>
      <c r="Y35" s="1">
        <v>156</v>
      </c>
      <c r="Z35" s="1">
        <v>0</v>
      </c>
      <c r="AA35" s="1">
        <v>1</v>
      </c>
      <c r="AB35" s="5" t="s">
        <v>130</v>
      </c>
      <c r="AC35" s="1">
        <v>13</v>
      </c>
      <c r="AD35" s="1">
        <v>65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6" t="s">
        <v>134</v>
      </c>
      <c r="AL35" s="1">
        <v>0</v>
      </c>
      <c r="AM35" s="1" t="s">
        <v>100</v>
      </c>
      <c r="AN35" s="1">
        <v>0</v>
      </c>
      <c r="AO35" s="1">
        <v>0</v>
      </c>
      <c r="AP35" s="1">
        <v>2</v>
      </c>
      <c r="AQ35" s="25">
        <v>3</v>
      </c>
      <c r="AR35" s="1">
        <v>1</v>
      </c>
      <c r="AS35" s="1">
        <v>0</v>
      </c>
      <c r="AT35" s="1">
        <v>32.4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</row>
    <row r="36" spans="2:55">
      <c r="B36" s="23">
        <v>1</v>
      </c>
      <c r="C36" s="2">
        <v>60</v>
      </c>
      <c r="D36" s="3">
        <v>45369</v>
      </c>
      <c r="E36" s="3">
        <v>45379</v>
      </c>
      <c r="F36" s="1" t="s">
        <v>55</v>
      </c>
      <c r="G36" s="1" t="s">
        <v>99</v>
      </c>
      <c r="J36" s="1">
        <v>170</v>
      </c>
      <c r="K36" s="1">
        <v>60</v>
      </c>
      <c r="L36" s="25">
        <f t="shared" si="0"/>
        <v>20.8</v>
      </c>
      <c r="M36" s="26">
        <v>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1</v>
      </c>
      <c r="V36" s="2">
        <v>0</v>
      </c>
      <c r="W36" s="1">
        <v>16.6</v>
      </c>
      <c r="X36" s="24">
        <v>39</v>
      </c>
      <c r="Y36" s="1">
        <v>143</v>
      </c>
      <c r="Z36" s="1">
        <v>0</v>
      </c>
      <c r="AA36" s="1">
        <v>1</v>
      </c>
      <c r="AB36" s="5" t="s">
        <v>130</v>
      </c>
      <c r="AC36" s="1">
        <v>1</v>
      </c>
      <c r="AD36" s="1">
        <v>125</v>
      </c>
      <c r="AE36" s="1">
        <v>0</v>
      </c>
      <c r="AF36" s="1">
        <v>0</v>
      </c>
      <c r="AG36" s="2">
        <v>1</v>
      </c>
      <c r="AH36" s="1">
        <v>0</v>
      </c>
      <c r="AI36" s="1">
        <v>0</v>
      </c>
      <c r="AJ36" s="1">
        <v>0</v>
      </c>
      <c r="AK36" s="6" t="s">
        <v>135</v>
      </c>
      <c r="AL36" s="1">
        <v>0</v>
      </c>
      <c r="AM36" s="1" t="s">
        <v>100</v>
      </c>
      <c r="AN36" s="1">
        <v>0</v>
      </c>
      <c r="AO36" s="1">
        <v>0</v>
      </c>
      <c r="AP36" s="1">
        <v>2</v>
      </c>
      <c r="AQ36" s="1">
        <v>3</v>
      </c>
      <c r="AR36" s="1">
        <v>3</v>
      </c>
      <c r="AS36" s="1">
        <v>0</v>
      </c>
      <c r="AT36" s="1">
        <v>30.6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</row>
    <row r="37" spans="2:55">
      <c r="B37" s="23">
        <v>2</v>
      </c>
      <c r="C37" s="2">
        <v>55</v>
      </c>
      <c r="D37" s="3">
        <v>45320</v>
      </c>
      <c r="E37" s="3">
        <v>45330</v>
      </c>
      <c r="F37" s="1" t="s">
        <v>55</v>
      </c>
      <c r="G37" s="1" t="s">
        <v>70</v>
      </c>
      <c r="J37" s="1">
        <v>161</v>
      </c>
      <c r="K37" s="1">
        <v>63</v>
      </c>
      <c r="L37" s="25">
        <f t="shared" si="0"/>
        <v>24.3</v>
      </c>
      <c r="M37" s="4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2">
        <v>0</v>
      </c>
      <c r="W37" s="24">
        <v>22</v>
      </c>
      <c r="X37" s="1">
        <v>43.5</v>
      </c>
      <c r="Y37" s="1">
        <v>139</v>
      </c>
      <c r="Z37" s="1">
        <v>0</v>
      </c>
      <c r="AA37" s="25">
        <v>2</v>
      </c>
      <c r="AB37" s="5" t="s">
        <v>130</v>
      </c>
      <c r="AC37" s="1">
        <v>1</v>
      </c>
      <c r="AD37" s="1">
        <v>67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6" t="s">
        <v>136</v>
      </c>
      <c r="AL37" s="1">
        <v>0</v>
      </c>
      <c r="AM37" s="1" t="s">
        <v>137</v>
      </c>
      <c r="AN37" s="1">
        <v>0</v>
      </c>
      <c r="AO37" s="1">
        <v>0</v>
      </c>
      <c r="AP37" s="1">
        <v>14</v>
      </c>
      <c r="AQ37" s="1">
        <v>0</v>
      </c>
      <c r="AR37" s="1">
        <v>3</v>
      </c>
      <c r="AS37" s="1">
        <v>0</v>
      </c>
      <c r="AT37" s="1">
        <v>38.4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</row>
    <row r="38" spans="2:55">
      <c r="B38" s="23">
        <v>1</v>
      </c>
      <c r="C38" s="2">
        <v>66</v>
      </c>
      <c r="D38" s="3">
        <v>45349</v>
      </c>
      <c r="E38" s="3">
        <v>45356</v>
      </c>
      <c r="F38" s="1" t="s">
        <v>69</v>
      </c>
      <c r="G38" s="1" t="s">
        <v>138</v>
      </c>
      <c r="J38" s="1">
        <v>163</v>
      </c>
      <c r="K38" s="1">
        <v>72</v>
      </c>
      <c r="L38" s="25">
        <f t="shared" si="0"/>
        <v>27.1</v>
      </c>
      <c r="M38" s="4">
        <v>1</v>
      </c>
      <c r="N38" s="1">
        <v>0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2">
        <v>0</v>
      </c>
      <c r="W38" s="1">
        <v>30.8</v>
      </c>
      <c r="X38" s="1">
        <v>44.7</v>
      </c>
      <c r="Y38" s="1">
        <v>153</v>
      </c>
      <c r="Z38" s="1">
        <v>0</v>
      </c>
      <c r="AA38" s="25">
        <v>20</v>
      </c>
      <c r="AB38" s="5" t="s">
        <v>130</v>
      </c>
      <c r="AC38" s="1">
        <v>1</v>
      </c>
      <c r="AD38" s="1">
        <v>110</v>
      </c>
      <c r="AE38" s="1">
        <v>0</v>
      </c>
      <c r="AF38" s="1">
        <v>0</v>
      </c>
      <c r="AG38" s="2">
        <v>1</v>
      </c>
      <c r="AH38" s="1">
        <v>0</v>
      </c>
      <c r="AI38" s="1">
        <v>0</v>
      </c>
      <c r="AJ38" s="1">
        <v>0</v>
      </c>
      <c r="AK38" s="6" t="s">
        <v>139</v>
      </c>
      <c r="AL38" s="1">
        <v>0</v>
      </c>
      <c r="AM38" s="1" t="s">
        <v>140</v>
      </c>
      <c r="AN38" s="1">
        <v>0</v>
      </c>
      <c r="AO38" s="1">
        <v>0</v>
      </c>
      <c r="AP38" s="1">
        <v>3</v>
      </c>
      <c r="AQ38" s="1">
        <v>3</v>
      </c>
      <c r="AR38" s="1">
        <v>4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</row>
    <row r="39" spans="2:55">
      <c r="B39" s="23">
        <v>1</v>
      </c>
      <c r="C39" s="2">
        <v>68</v>
      </c>
      <c r="D39" s="3">
        <v>45432</v>
      </c>
      <c r="E39" s="3">
        <v>45447</v>
      </c>
      <c r="F39" s="1" t="s">
        <v>55</v>
      </c>
      <c r="G39" s="1" t="s">
        <v>141</v>
      </c>
      <c r="J39" s="1">
        <v>170</v>
      </c>
      <c r="K39" s="1">
        <v>68</v>
      </c>
      <c r="L39" s="25">
        <f t="shared" si="0"/>
        <v>23.5</v>
      </c>
      <c r="M39" s="4">
        <v>0</v>
      </c>
      <c r="N39" s="1">
        <v>0</v>
      </c>
      <c r="O39" s="1">
        <v>1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2">
        <v>1</v>
      </c>
      <c r="W39" s="1">
        <v>23.6</v>
      </c>
      <c r="X39" s="1">
        <v>42.5</v>
      </c>
      <c r="Y39" s="1">
        <v>131</v>
      </c>
      <c r="Z39" s="1">
        <v>0</v>
      </c>
      <c r="AA39" s="1">
        <v>9</v>
      </c>
      <c r="AB39" s="5" t="s">
        <v>130</v>
      </c>
      <c r="AC39" s="1">
        <v>1</v>
      </c>
      <c r="AD39" s="1">
        <v>321</v>
      </c>
      <c r="AE39" s="1">
        <v>0</v>
      </c>
      <c r="AF39" s="1">
        <v>0</v>
      </c>
      <c r="AG39" s="2">
        <v>1</v>
      </c>
      <c r="AH39" s="1">
        <v>1</v>
      </c>
      <c r="AI39" s="1">
        <v>1</v>
      </c>
      <c r="AJ39" s="1">
        <v>0</v>
      </c>
      <c r="AK39" s="6" t="s">
        <v>142</v>
      </c>
      <c r="AL39" s="1">
        <v>0</v>
      </c>
      <c r="AM39" s="1" t="s">
        <v>143</v>
      </c>
      <c r="AN39" s="1">
        <v>0</v>
      </c>
      <c r="AO39" s="1">
        <v>0</v>
      </c>
      <c r="AP39" s="1">
        <v>2</v>
      </c>
      <c r="AQ39" s="1">
        <v>3</v>
      </c>
      <c r="AR39" s="1">
        <v>2</v>
      </c>
      <c r="AS39" s="1">
        <v>0</v>
      </c>
      <c r="AT39" s="1">
        <v>33.1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</row>
    <row r="40" spans="2:55">
      <c r="B40" s="23">
        <v>2</v>
      </c>
      <c r="C40" s="2">
        <v>51</v>
      </c>
      <c r="D40" s="3">
        <v>45348</v>
      </c>
      <c r="E40" s="3">
        <v>45355</v>
      </c>
      <c r="F40" s="1" t="s">
        <v>69</v>
      </c>
      <c r="G40" s="1" t="s">
        <v>106</v>
      </c>
      <c r="J40" s="1">
        <v>162</v>
      </c>
      <c r="K40" s="1">
        <v>64</v>
      </c>
      <c r="L40" s="25">
        <f t="shared" si="0"/>
        <v>24.4</v>
      </c>
      <c r="M40" s="4">
        <v>1</v>
      </c>
      <c r="N40" s="1">
        <v>0</v>
      </c>
      <c r="O40" s="1">
        <v>1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2">
        <v>0</v>
      </c>
      <c r="W40" s="1">
        <v>0</v>
      </c>
      <c r="X40" s="1">
        <v>0</v>
      </c>
      <c r="Y40" s="1">
        <v>123</v>
      </c>
      <c r="Z40" s="1">
        <v>0</v>
      </c>
      <c r="AA40" s="1">
        <v>4</v>
      </c>
      <c r="AB40" s="5" t="s">
        <v>130</v>
      </c>
      <c r="AC40" s="1">
        <v>1</v>
      </c>
      <c r="AD40" s="1">
        <v>151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6" t="s">
        <v>139</v>
      </c>
      <c r="AL40" s="1">
        <v>0</v>
      </c>
      <c r="AM40" s="1" t="s">
        <v>144</v>
      </c>
      <c r="AN40" s="1">
        <v>0</v>
      </c>
      <c r="AO40" s="1">
        <v>0</v>
      </c>
      <c r="AP40" s="1" t="s">
        <v>115</v>
      </c>
      <c r="AQ40" s="1">
        <v>3</v>
      </c>
      <c r="AR40" s="1">
        <v>3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</row>
    <row r="41" spans="2:55">
      <c r="B41" s="23">
        <v>1</v>
      </c>
      <c r="C41" s="2">
        <v>52</v>
      </c>
      <c r="D41" s="3">
        <v>45324</v>
      </c>
      <c r="E41" s="3">
        <v>45330</v>
      </c>
      <c r="F41" s="1" t="s">
        <v>55</v>
      </c>
      <c r="G41" s="1" t="s">
        <v>80</v>
      </c>
      <c r="J41" s="1">
        <v>167</v>
      </c>
      <c r="K41" s="1">
        <v>86</v>
      </c>
      <c r="L41" s="25">
        <f t="shared" si="0"/>
        <v>30.8</v>
      </c>
      <c r="M41" s="4">
        <v>0</v>
      </c>
      <c r="N41" s="1">
        <v>0</v>
      </c>
      <c r="O41" s="1">
        <v>1</v>
      </c>
      <c r="P41" s="1">
        <v>0</v>
      </c>
      <c r="Q41" s="1">
        <v>0</v>
      </c>
      <c r="R41" s="1">
        <v>1</v>
      </c>
      <c r="S41" s="1">
        <v>0</v>
      </c>
      <c r="T41" s="1">
        <v>0</v>
      </c>
      <c r="U41" s="1">
        <v>0</v>
      </c>
      <c r="V41" s="2">
        <v>1</v>
      </c>
      <c r="W41" s="1">
        <v>22.7</v>
      </c>
      <c r="X41" s="1">
        <v>47.1</v>
      </c>
      <c r="Y41" s="1">
        <v>143</v>
      </c>
      <c r="Z41" s="1">
        <v>0</v>
      </c>
      <c r="AA41" s="25">
        <v>14</v>
      </c>
      <c r="AB41" s="5" t="s">
        <v>130</v>
      </c>
      <c r="AC41" s="1">
        <v>1</v>
      </c>
      <c r="AD41" s="1">
        <v>211</v>
      </c>
      <c r="AE41" s="1">
        <v>0</v>
      </c>
      <c r="AF41" s="1">
        <v>0</v>
      </c>
      <c r="AG41" s="2">
        <v>1</v>
      </c>
      <c r="AH41" s="1">
        <v>0</v>
      </c>
      <c r="AI41" s="1">
        <v>0</v>
      </c>
      <c r="AJ41" s="1">
        <v>0</v>
      </c>
      <c r="AK41" s="6" t="s">
        <v>145</v>
      </c>
      <c r="AL41" s="1">
        <v>0</v>
      </c>
      <c r="AM41" s="1" t="s">
        <v>81</v>
      </c>
      <c r="AN41" s="1">
        <v>0</v>
      </c>
      <c r="AO41" s="1">
        <v>0</v>
      </c>
      <c r="AP41" s="1">
        <v>2</v>
      </c>
      <c r="AQ41" s="25">
        <v>3</v>
      </c>
      <c r="AR41" s="1">
        <v>4</v>
      </c>
      <c r="AS41" s="1">
        <v>0</v>
      </c>
      <c r="AT41" s="1">
        <v>36.8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</row>
    <row r="42" spans="2:55">
      <c r="B42" s="23">
        <v>2</v>
      </c>
      <c r="C42" s="2">
        <v>60</v>
      </c>
      <c r="D42" s="3">
        <v>45350</v>
      </c>
      <c r="E42" s="3">
        <v>45359</v>
      </c>
      <c r="F42" s="1" t="s">
        <v>55</v>
      </c>
      <c r="G42" s="1" t="s">
        <v>146</v>
      </c>
      <c r="J42" s="1">
        <v>157</v>
      </c>
      <c r="K42" s="1">
        <v>62</v>
      </c>
      <c r="L42" s="25">
        <f t="shared" si="0"/>
        <v>25.2</v>
      </c>
      <c r="M42" s="4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2">
        <v>0</v>
      </c>
      <c r="W42" s="1">
        <v>31.6</v>
      </c>
      <c r="X42" s="1">
        <v>42.7</v>
      </c>
      <c r="Y42" s="1">
        <v>148</v>
      </c>
      <c r="Z42" s="1">
        <v>0</v>
      </c>
      <c r="AA42" s="1">
        <v>11</v>
      </c>
      <c r="AB42" s="5" t="s">
        <v>130</v>
      </c>
      <c r="AC42" s="1">
        <v>1</v>
      </c>
      <c r="AD42" s="1">
        <v>196</v>
      </c>
      <c r="AE42" s="1">
        <v>0</v>
      </c>
      <c r="AF42" s="1">
        <v>0</v>
      </c>
      <c r="AG42" s="2">
        <v>1</v>
      </c>
      <c r="AH42" s="1">
        <v>0</v>
      </c>
      <c r="AI42" s="1">
        <v>0</v>
      </c>
      <c r="AJ42" s="1">
        <v>0</v>
      </c>
      <c r="AK42" s="6" t="s">
        <v>147</v>
      </c>
      <c r="AL42" s="1">
        <v>0</v>
      </c>
      <c r="AM42" s="1" t="s">
        <v>117</v>
      </c>
      <c r="AN42" s="1">
        <v>0</v>
      </c>
      <c r="AO42" s="1">
        <v>0</v>
      </c>
      <c r="AP42" s="1" t="s">
        <v>148</v>
      </c>
      <c r="AQ42" s="1">
        <v>0</v>
      </c>
      <c r="AR42" s="1">
        <v>2</v>
      </c>
      <c r="AS42" s="1">
        <v>0</v>
      </c>
      <c r="AT42" s="1">
        <v>28.7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</row>
    <row r="43" spans="2:55">
      <c r="B43" s="23">
        <v>1</v>
      </c>
      <c r="C43" s="2">
        <v>53</v>
      </c>
      <c r="D43" s="3">
        <v>45397</v>
      </c>
      <c r="E43" s="3">
        <v>45418</v>
      </c>
      <c r="F43" s="1" t="s">
        <v>69</v>
      </c>
      <c r="G43" s="1" t="s">
        <v>149</v>
      </c>
      <c r="J43" s="1">
        <v>163</v>
      </c>
      <c r="K43" s="1">
        <v>67</v>
      </c>
      <c r="L43" s="25">
        <f t="shared" si="0"/>
        <v>25.2</v>
      </c>
      <c r="M43" s="4">
        <v>0</v>
      </c>
      <c r="N43" s="1">
        <v>0</v>
      </c>
      <c r="O43" s="1">
        <v>0</v>
      </c>
      <c r="P43" s="1">
        <v>0</v>
      </c>
      <c r="Q43" s="1">
        <v>0</v>
      </c>
      <c r="R43" s="1">
        <v>1</v>
      </c>
      <c r="S43" s="1">
        <v>0</v>
      </c>
      <c r="T43" s="1">
        <v>0</v>
      </c>
      <c r="U43" s="1">
        <v>0</v>
      </c>
      <c r="V43" s="2">
        <v>0</v>
      </c>
      <c r="W43" s="1">
        <v>0</v>
      </c>
      <c r="X43" s="1">
        <v>42.8</v>
      </c>
      <c r="Y43" s="1">
        <v>131</v>
      </c>
      <c r="Z43" s="1">
        <v>0</v>
      </c>
      <c r="AA43" s="27">
        <v>5</v>
      </c>
      <c r="AB43" s="5" t="s">
        <v>130</v>
      </c>
      <c r="AC43" s="1">
        <v>1</v>
      </c>
      <c r="AD43" s="1">
        <v>355</v>
      </c>
      <c r="AE43" s="1">
        <v>0</v>
      </c>
      <c r="AF43" s="1">
        <v>0</v>
      </c>
      <c r="AG43" s="2">
        <v>1</v>
      </c>
      <c r="AH43" s="1">
        <v>0</v>
      </c>
      <c r="AI43" s="1">
        <v>1</v>
      </c>
      <c r="AJ43" s="1">
        <v>0</v>
      </c>
      <c r="AK43" s="6" t="s">
        <v>150</v>
      </c>
      <c r="AL43" s="1">
        <v>0</v>
      </c>
      <c r="AM43" s="1" t="s">
        <v>57</v>
      </c>
      <c r="AN43" s="1">
        <v>0</v>
      </c>
      <c r="AO43" s="1">
        <v>0</v>
      </c>
      <c r="AP43" s="1">
        <v>2</v>
      </c>
      <c r="AQ43" s="25">
        <v>3</v>
      </c>
      <c r="AR43" s="1">
        <v>3</v>
      </c>
      <c r="AS43" s="1">
        <v>0</v>
      </c>
      <c r="AT43" s="1">
        <v>32.3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</row>
    <row r="44" spans="2:55">
      <c r="B44" s="23">
        <v>1</v>
      </c>
      <c r="C44" s="2">
        <v>68</v>
      </c>
      <c r="D44" s="3">
        <v>45418</v>
      </c>
      <c r="E44" s="3">
        <v>45433</v>
      </c>
      <c r="F44" s="1" t="s">
        <v>55</v>
      </c>
      <c r="G44" s="1" t="s">
        <v>74</v>
      </c>
      <c r="J44" s="1">
        <v>171</v>
      </c>
      <c r="K44" s="1">
        <v>68</v>
      </c>
      <c r="L44" s="25">
        <f t="shared" si="0"/>
        <v>23.3</v>
      </c>
      <c r="M44" s="4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V44" s="2">
        <v>1</v>
      </c>
      <c r="W44" s="1">
        <v>32.2</v>
      </c>
      <c r="X44" s="1">
        <v>41.7</v>
      </c>
      <c r="Y44" s="1">
        <v>133</v>
      </c>
      <c r="Z44" s="1">
        <v>0</v>
      </c>
      <c r="AA44" s="1">
        <v>5</v>
      </c>
      <c r="AB44" s="5" t="s">
        <v>130</v>
      </c>
      <c r="AC44" s="1">
        <v>1</v>
      </c>
      <c r="AD44" s="1">
        <v>354</v>
      </c>
      <c r="AE44" s="1">
        <v>0</v>
      </c>
      <c r="AF44" s="1">
        <v>0</v>
      </c>
      <c r="AG44" s="23">
        <v>1</v>
      </c>
      <c r="AH44" s="1">
        <v>0</v>
      </c>
      <c r="AI44" s="1">
        <v>1</v>
      </c>
      <c r="AJ44" s="1">
        <v>0</v>
      </c>
      <c r="AK44" s="6" t="s">
        <v>151</v>
      </c>
      <c r="AL44" s="1">
        <v>0</v>
      </c>
      <c r="AM44" s="1" t="s">
        <v>86</v>
      </c>
      <c r="AN44" s="1">
        <v>0</v>
      </c>
      <c r="AO44" s="1">
        <v>0</v>
      </c>
      <c r="AP44" s="1">
        <v>2</v>
      </c>
      <c r="AQ44" s="1">
        <v>2</v>
      </c>
      <c r="AR44" s="1">
        <v>4</v>
      </c>
      <c r="AS44" s="1">
        <v>0</v>
      </c>
      <c r="AT44" s="1">
        <v>30.6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</row>
    <row r="45" spans="2:55">
      <c r="B45" s="23">
        <v>2</v>
      </c>
      <c r="C45" s="2">
        <v>59</v>
      </c>
      <c r="D45" s="3">
        <v>45376</v>
      </c>
      <c r="E45" s="3">
        <v>45384</v>
      </c>
      <c r="F45" s="1" t="s">
        <v>69</v>
      </c>
      <c r="G45" s="1" t="s">
        <v>99</v>
      </c>
      <c r="J45" s="1">
        <v>155</v>
      </c>
      <c r="K45" s="1">
        <v>55</v>
      </c>
      <c r="L45" s="25">
        <f t="shared" si="0"/>
        <v>22.9</v>
      </c>
      <c r="M45" s="26">
        <v>1</v>
      </c>
      <c r="N45" s="1">
        <v>0</v>
      </c>
      <c r="O45" s="1">
        <v>1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2">
        <v>0</v>
      </c>
      <c r="W45" s="1">
        <v>0</v>
      </c>
      <c r="X45" s="1">
        <v>0</v>
      </c>
      <c r="Y45" s="1">
        <v>135</v>
      </c>
      <c r="Z45" s="1">
        <v>0</v>
      </c>
      <c r="AA45" s="1">
        <v>1</v>
      </c>
      <c r="AB45" s="5" t="s">
        <v>130</v>
      </c>
      <c r="AC45" s="1">
        <v>1</v>
      </c>
      <c r="AD45" s="1">
        <v>76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6" t="s">
        <v>152</v>
      </c>
      <c r="AL45" s="1">
        <v>0</v>
      </c>
      <c r="AM45" s="1" t="s">
        <v>100</v>
      </c>
      <c r="AN45" s="1">
        <v>0</v>
      </c>
      <c r="AO45" s="1">
        <v>0</v>
      </c>
      <c r="AP45" s="1">
        <v>2</v>
      </c>
      <c r="AQ45" s="1">
        <v>2</v>
      </c>
      <c r="AR45" s="1">
        <v>3</v>
      </c>
      <c r="AS45" s="1">
        <v>0</v>
      </c>
      <c r="AT45" s="1">
        <v>43.8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</row>
    <row r="46" spans="2:55">
      <c r="B46" s="23">
        <v>1</v>
      </c>
      <c r="C46" s="2">
        <v>71</v>
      </c>
      <c r="D46" s="3">
        <v>45432</v>
      </c>
      <c r="E46" s="3">
        <v>45450</v>
      </c>
      <c r="F46" s="1" t="s">
        <v>55</v>
      </c>
      <c r="G46" s="1" t="s">
        <v>65</v>
      </c>
      <c r="J46" s="1">
        <v>175</v>
      </c>
      <c r="K46" s="1">
        <v>70</v>
      </c>
      <c r="L46" s="25">
        <f t="shared" si="0"/>
        <v>22.9</v>
      </c>
      <c r="M46" s="4">
        <v>0</v>
      </c>
      <c r="N46" s="1">
        <v>0</v>
      </c>
      <c r="O46" s="1">
        <v>1</v>
      </c>
      <c r="P46" s="1">
        <v>0</v>
      </c>
      <c r="Q46" s="1">
        <v>0</v>
      </c>
      <c r="R46" s="1">
        <v>1</v>
      </c>
      <c r="S46" s="1">
        <v>0</v>
      </c>
      <c r="T46" s="1">
        <v>0</v>
      </c>
      <c r="U46" s="1">
        <v>1</v>
      </c>
      <c r="V46" s="2">
        <v>1</v>
      </c>
      <c r="W46" s="1">
        <v>27.5</v>
      </c>
      <c r="X46" s="1">
        <v>43.5</v>
      </c>
      <c r="Y46" s="1">
        <v>121</v>
      </c>
      <c r="Z46" s="1">
        <v>0</v>
      </c>
      <c r="AA46" s="1">
        <v>11</v>
      </c>
      <c r="AB46" s="5" t="s">
        <v>130</v>
      </c>
      <c r="AC46" s="1">
        <v>1</v>
      </c>
      <c r="AD46" s="1">
        <v>96</v>
      </c>
      <c r="AE46" s="1">
        <v>0</v>
      </c>
      <c r="AF46" s="1">
        <v>0</v>
      </c>
      <c r="AG46" s="2">
        <v>1</v>
      </c>
      <c r="AH46" s="1">
        <v>0</v>
      </c>
      <c r="AI46" s="1">
        <v>1</v>
      </c>
      <c r="AJ46" s="1">
        <v>0</v>
      </c>
      <c r="AK46" s="6" t="s">
        <v>142</v>
      </c>
      <c r="AL46" s="1">
        <v>0</v>
      </c>
      <c r="AM46" s="1" t="s">
        <v>153</v>
      </c>
      <c r="AN46" s="1">
        <v>0</v>
      </c>
      <c r="AO46" s="1">
        <v>0</v>
      </c>
      <c r="AP46" s="1">
        <v>2</v>
      </c>
      <c r="AQ46" s="1">
        <v>0</v>
      </c>
      <c r="AR46" s="1">
        <v>5</v>
      </c>
      <c r="AS46" s="1">
        <v>0</v>
      </c>
      <c r="AT46" s="1">
        <v>34.7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</row>
    <row r="47" spans="2:55">
      <c r="B47" s="23">
        <v>1</v>
      </c>
      <c r="C47" s="2">
        <v>54</v>
      </c>
      <c r="D47" s="3">
        <v>45369</v>
      </c>
      <c r="E47" s="3">
        <v>45379</v>
      </c>
      <c r="F47" s="1" t="s">
        <v>55</v>
      </c>
      <c r="G47" s="1" t="s">
        <v>99</v>
      </c>
      <c r="J47" s="1">
        <v>178</v>
      </c>
      <c r="K47" s="1">
        <v>80</v>
      </c>
      <c r="L47" s="25">
        <f t="shared" si="0"/>
        <v>25.2</v>
      </c>
      <c r="M47" s="26">
        <v>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1</v>
      </c>
      <c r="V47" s="2">
        <v>1</v>
      </c>
      <c r="W47" s="1">
        <v>26.5</v>
      </c>
      <c r="X47" s="1">
        <v>46.7</v>
      </c>
      <c r="Y47" s="1">
        <v>161</v>
      </c>
      <c r="Z47" s="1">
        <v>0</v>
      </c>
      <c r="AA47" s="1">
        <v>1</v>
      </c>
      <c r="AB47" s="5" t="s">
        <v>130</v>
      </c>
      <c r="AC47" s="1">
        <v>1</v>
      </c>
      <c r="AD47" s="1">
        <v>175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6" t="s">
        <v>135</v>
      </c>
      <c r="AL47" s="1">
        <v>0</v>
      </c>
      <c r="AM47" s="1" t="s">
        <v>100</v>
      </c>
      <c r="AN47" s="1">
        <v>0</v>
      </c>
      <c r="AO47" s="1">
        <v>0</v>
      </c>
      <c r="AP47" s="1">
        <v>2</v>
      </c>
      <c r="AQ47" s="1">
        <v>3</v>
      </c>
      <c r="AR47" s="1">
        <v>3</v>
      </c>
      <c r="AS47" s="1">
        <v>0</v>
      </c>
      <c r="AT47" s="1">
        <v>34.8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</row>
    <row r="48" spans="2:55">
      <c r="B48" s="23">
        <v>2</v>
      </c>
      <c r="C48" s="2">
        <v>14</v>
      </c>
      <c r="D48" s="3">
        <v>45380</v>
      </c>
      <c r="E48" s="3">
        <v>45389</v>
      </c>
      <c r="F48" s="1" t="s">
        <v>55</v>
      </c>
      <c r="G48" s="1" t="s">
        <v>95</v>
      </c>
      <c r="J48" s="1">
        <v>161</v>
      </c>
      <c r="K48" s="1">
        <v>65</v>
      </c>
      <c r="L48" s="25">
        <f>ROUND(K48/POWER(J48/100,2),1)</f>
        <v>25.1</v>
      </c>
      <c r="M48" s="4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2">
        <v>0</v>
      </c>
      <c r="W48" s="1">
        <v>22.6</v>
      </c>
      <c r="X48" s="1">
        <v>47.4</v>
      </c>
      <c r="Y48" s="1">
        <v>140</v>
      </c>
      <c r="Z48" s="1">
        <v>0</v>
      </c>
      <c r="AA48" s="1">
        <v>11</v>
      </c>
      <c r="AB48" s="5" t="s">
        <v>130</v>
      </c>
      <c r="AC48" s="1">
        <v>1</v>
      </c>
      <c r="AD48" s="1">
        <v>52</v>
      </c>
      <c r="AE48" s="1">
        <v>0</v>
      </c>
      <c r="AF48" s="1">
        <v>0</v>
      </c>
      <c r="AG48" s="2">
        <v>1</v>
      </c>
      <c r="AH48" s="1">
        <v>0</v>
      </c>
      <c r="AI48" s="1">
        <v>0</v>
      </c>
      <c r="AJ48" s="1">
        <v>0</v>
      </c>
      <c r="AK48" s="6" t="s">
        <v>154</v>
      </c>
      <c r="AL48" s="1">
        <v>0</v>
      </c>
      <c r="AM48" s="1" t="s">
        <v>153</v>
      </c>
      <c r="AN48" s="1">
        <v>0</v>
      </c>
      <c r="AO48" s="1">
        <v>0</v>
      </c>
      <c r="AP48" s="1" t="s">
        <v>155</v>
      </c>
      <c r="AQ48" s="1">
        <v>0</v>
      </c>
      <c r="AR48" s="1">
        <v>5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</row>
    <row r="49" spans="2:55">
      <c r="B49" s="23">
        <v>1</v>
      </c>
      <c r="C49" s="2">
        <v>74</v>
      </c>
      <c r="D49" s="3">
        <v>45352</v>
      </c>
      <c r="E49" s="3">
        <v>45377</v>
      </c>
      <c r="F49" s="1" t="s">
        <v>83</v>
      </c>
      <c r="G49" s="1" t="s">
        <v>99</v>
      </c>
      <c r="J49" s="1">
        <v>177</v>
      </c>
      <c r="K49" s="1">
        <v>62</v>
      </c>
      <c r="L49" s="25">
        <f>ROUND(K49/POWER(J49/100,2),1)</f>
        <v>19.8</v>
      </c>
      <c r="M49" s="4">
        <v>0</v>
      </c>
      <c r="N49" s="1">
        <v>0</v>
      </c>
      <c r="O49" s="1">
        <v>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1</v>
      </c>
      <c r="V49" s="2">
        <v>0</v>
      </c>
      <c r="W49" s="1">
        <v>15.8</v>
      </c>
      <c r="X49" s="1">
        <v>28.5</v>
      </c>
      <c r="Y49" s="1">
        <v>115</v>
      </c>
      <c r="Z49" s="1">
        <v>0</v>
      </c>
      <c r="AA49" s="1">
        <v>1</v>
      </c>
      <c r="AB49" s="5" t="s">
        <v>130</v>
      </c>
      <c r="AC49" s="1">
        <v>2</v>
      </c>
      <c r="AD49" s="1">
        <v>171</v>
      </c>
      <c r="AE49" s="1">
        <v>0</v>
      </c>
      <c r="AF49" s="1">
        <v>0</v>
      </c>
      <c r="AG49" s="2">
        <v>1</v>
      </c>
      <c r="AH49" s="1">
        <v>0</v>
      </c>
      <c r="AI49" s="1">
        <v>0</v>
      </c>
      <c r="AJ49" s="1">
        <v>0</v>
      </c>
      <c r="AK49" s="6" t="s">
        <v>156</v>
      </c>
      <c r="AL49" s="1">
        <v>0</v>
      </c>
      <c r="AM49" s="1" t="s">
        <v>100</v>
      </c>
      <c r="AN49" s="1">
        <v>0</v>
      </c>
      <c r="AO49" s="1">
        <v>0</v>
      </c>
      <c r="AP49" s="1">
        <v>2</v>
      </c>
      <c r="AQ49" s="1">
        <v>2</v>
      </c>
      <c r="AR49" s="1">
        <v>1</v>
      </c>
      <c r="AS49" s="1">
        <v>0</v>
      </c>
      <c r="AT49" s="1">
        <v>26.6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</row>
    <row r="50" spans="2:55">
      <c r="B50" s="23">
        <v>2</v>
      </c>
      <c r="C50" s="2">
        <v>20</v>
      </c>
      <c r="D50" s="3">
        <v>45446</v>
      </c>
      <c r="E50" s="3">
        <v>45463</v>
      </c>
      <c r="F50" s="1" t="s">
        <v>69</v>
      </c>
      <c r="G50" s="1" t="s">
        <v>157</v>
      </c>
      <c r="J50" s="1">
        <v>154</v>
      </c>
      <c r="K50" s="1">
        <v>40</v>
      </c>
      <c r="L50" s="25">
        <f>ROUND(K50/POWER(J50/100,2),1)</f>
        <v>16.9</v>
      </c>
      <c r="M50" s="4">
        <v>1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2">
        <v>0</v>
      </c>
      <c r="W50" s="24">
        <v>19</v>
      </c>
      <c r="X50" s="24">
        <v>47</v>
      </c>
      <c r="Y50" s="1">
        <v>125</v>
      </c>
      <c r="Z50" s="1">
        <v>0</v>
      </c>
      <c r="AA50" s="1">
        <v>8</v>
      </c>
      <c r="AB50" s="5" t="s">
        <v>130</v>
      </c>
      <c r="AC50" s="1">
        <v>1</v>
      </c>
      <c r="AD50" s="1">
        <v>167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6" t="s">
        <v>158</v>
      </c>
      <c r="AL50" s="1">
        <v>0</v>
      </c>
      <c r="AM50" s="1" t="s">
        <v>159</v>
      </c>
      <c r="AN50" s="1">
        <v>0</v>
      </c>
      <c r="AO50" s="1">
        <v>0</v>
      </c>
      <c r="AP50" s="1">
        <v>0</v>
      </c>
      <c r="AQ50" s="1">
        <v>0</v>
      </c>
      <c r="AR50" s="1">
        <v>5</v>
      </c>
      <c r="AS50" s="1">
        <v>0</v>
      </c>
      <c r="AT50" s="1">
        <v>34.9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</row>
    <row r="51" spans="2:55">
      <c r="B51" s="23">
        <v>1</v>
      </c>
      <c r="C51" s="2">
        <v>70</v>
      </c>
      <c r="D51" s="3">
        <v>45364</v>
      </c>
      <c r="E51" s="3">
        <v>45369</v>
      </c>
      <c r="F51" s="1" t="s">
        <v>55</v>
      </c>
      <c r="G51" s="1" t="s">
        <v>84</v>
      </c>
      <c r="J51" s="1">
        <v>162</v>
      </c>
      <c r="K51" s="1">
        <v>55</v>
      </c>
      <c r="L51" s="25">
        <f>ROUND(K51/POWER(J51/100,2),1)</f>
        <v>21</v>
      </c>
      <c r="M51" s="4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2">
        <v>0</v>
      </c>
      <c r="W51" s="1">
        <v>32.9</v>
      </c>
      <c r="X51" s="1">
        <v>42.7</v>
      </c>
      <c r="Y51" s="1">
        <v>140</v>
      </c>
      <c r="Z51" s="1">
        <v>0</v>
      </c>
      <c r="AA51" s="1">
        <v>4</v>
      </c>
      <c r="AB51" s="5" t="s">
        <v>130</v>
      </c>
      <c r="AC51" s="1">
        <v>1</v>
      </c>
      <c r="AD51" s="1">
        <v>38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6" t="s">
        <v>160</v>
      </c>
      <c r="AL51" s="1">
        <v>0</v>
      </c>
      <c r="AM51" s="1" t="s">
        <v>104</v>
      </c>
      <c r="AN51" s="1">
        <v>0</v>
      </c>
      <c r="AO51" s="1">
        <v>0</v>
      </c>
      <c r="AP51" s="1" t="s">
        <v>161</v>
      </c>
      <c r="AQ51" s="1">
        <v>0</v>
      </c>
      <c r="AR51" s="1">
        <v>5</v>
      </c>
      <c r="AS51" s="1">
        <v>0</v>
      </c>
      <c r="AT51" s="1">
        <v>34.1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taohuiying</dc:creator>
  <cp:lastModifiedBy>王一鸣</cp:lastModifiedBy>
  <dcterms:created xsi:type="dcterms:W3CDTF">2024-12-18T06:28:00Z</dcterms:created>
  <dcterms:modified xsi:type="dcterms:W3CDTF">2026-03-19T08:59:57Z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2B05106E9B894146AF0D89CE4A3CC4E4_13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